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8844" activeTab="1"/>
  </bookViews>
  <sheets>
    <sheet name="feed forward 1" sheetId="1" r:id="rId1"/>
    <sheet name="feed forward 2" sheetId="2" r:id="rId2"/>
  </sheets>
  <calcPr calcId="144525"/>
</workbook>
</file>

<file path=xl/sharedStrings.xml><?xml version="1.0" encoding="utf-8"?>
<sst xmlns="http://schemas.openxmlformats.org/spreadsheetml/2006/main" count="155" uniqueCount="35">
  <si>
    <t>inputs</t>
  </si>
  <si>
    <t>input 1</t>
  </si>
  <si>
    <t>neuron 0</t>
  </si>
  <si>
    <t>input 2</t>
  </si>
  <si>
    <t>neuron 1</t>
  </si>
  <si>
    <t>input 3</t>
  </si>
  <si>
    <t>neuron 2</t>
  </si>
  <si>
    <t>outputs</t>
  </si>
  <si>
    <t>output 1</t>
  </si>
  <si>
    <t>neuron 11</t>
  </si>
  <si>
    <t>layer 1</t>
  </si>
  <si>
    <t>neuron 3</t>
  </si>
  <si>
    <t>act</t>
  </si>
  <si>
    <t>identity</t>
  </si>
  <si>
    <t>w0</t>
  </si>
  <si>
    <t>w1</t>
  </si>
  <si>
    <t>neuron 4</t>
  </si>
  <si>
    <t>neuron 5</t>
  </si>
  <si>
    <t>layer 2</t>
  </si>
  <si>
    <t>neuron 6</t>
  </si>
  <si>
    <t>w2</t>
  </si>
  <si>
    <t>w3</t>
  </si>
  <si>
    <t>neuron 7</t>
  </si>
  <si>
    <t>softplus</t>
  </si>
  <si>
    <t>neuron 8</t>
  </si>
  <si>
    <t>tanh</t>
  </si>
  <si>
    <t>neuron 9</t>
  </si>
  <si>
    <t>sigmoid</t>
  </si>
  <si>
    <t>neuron 10</t>
  </si>
  <si>
    <t>gaussian</t>
  </si>
  <si>
    <t>layer 3</t>
  </si>
  <si>
    <t>w4</t>
  </si>
  <si>
    <t>w5</t>
  </si>
  <si>
    <t>output 2</t>
  </si>
  <si>
    <t>neuron 12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</si>
</sst>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67"/>
  <sheetViews>
    <sheetView workbookViewId="0">
      <selection activeCell="G9" sqref="G9"/>
    </sheetView>
  </sheetViews>
  <sheetFormatPr defaultColWidth="8.88888888888889" defaultRowHeight="14.4" outlineLevelCol="6"/>
  <cols>
    <col min="3" max="3" width="8.88888888888889" style="1"/>
    <col min="4" max="5" width="7" style="2" customWidth="1"/>
    <col min="6" max="17" width="8.88888888888889" style="2"/>
  </cols>
  <sheetData>
    <row r="3" spans="2:2">
      <c r="B3" s="3" t="s">
        <v>0</v>
      </c>
    </row>
    <row r="4" spans="2:7">
      <c r="B4" t="s">
        <v>1</v>
      </c>
      <c r="C4" s="1" t="s">
        <v>2</v>
      </c>
      <c r="D4" s="2">
        <v>1</v>
      </c>
      <c r="E4" s="2">
        <v>-0.1</v>
      </c>
      <c r="F4" s="2">
        <v>0</v>
      </c>
      <c r="G4" s="2">
        <v>-1</v>
      </c>
    </row>
    <row r="5" spans="2:7">
      <c r="B5" t="s">
        <v>3</v>
      </c>
      <c r="C5" s="1" t="s">
        <v>4</v>
      </c>
      <c r="D5" s="2">
        <v>-5</v>
      </c>
      <c r="E5" s="2">
        <v>0.05</v>
      </c>
      <c r="F5" s="2">
        <v>-3</v>
      </c>
      <c r="G5" s="2">
        <v>-1</v>
      </c>
    </row>
    <row r="6" spans="2:7">
      <c r="B6" t="s">
        <v>5</v>
      </c>
      <c r="C6" s="1" t="s">
        <v>6</v>
      </c>
      <c r="D6" s="2">
        <v>0.25</v>
      </c>
      <c r="E6" s="2">
        <v>-1.1</v>
      </c>
      <c r="F6" s="2">
        <v>5</v>
      </c>
      <c r="G6" s="2">
        <v>-1</v>
      </c>
    </row>
    <row r="8" spans="2:2">
      <c r="B8" s="3" t="s">
        <v>7</v>
      </c>
    </row>
    <row r="9" spans="2:7">
      <c r="B9" t="s">
        <v>8</v>
      </c>
      <c r="C9" s="1" t="s">
        <v>9</v>
      </c>
      <c r="D9" s="2">
        <f t="shared" ref="D9:G9" si="0">D59</f>
        <v>358.103470734109</v>
      </c>
      <c r="E9" s="2">
        <f t="shared" si="0"/>
        <v>4.40479258242874</v>
      </c>
      <c r="F9" s="2">
        <f t="shared" si="0"/>
        <v>209.550660259646</v>
      </c>
      <c r="G9" s="2">
        <f t="shared" si="0"/>
        <v>64.5522445946282</v>
      </c>
    </row>
    <row r="11" spans="2:2">
      <c r="B11" s="3" t="s">
        <v>10</v>
      </c>
    </row>
    <row r="12" spans="2:2">
      <c r="B12" s="4" t="s">
        <v>11</v>
      </c>
    </row>
    <row r="13" spans="2:7">
      <c r="B13" s="5" t="s">
        <v>12</v>
      </c>
      <c r="C13" s="1" t="s">
        <v>13</v>
      </c>
      <c r="D13" s="6">
        <f>IF($C13="identity",D14,IF($C13="sigmoid",1/(1+EXP(-D14)),IF($C13="tanh",(EXP(D14)-EXP(-D14))/(EXP(D14)+EXP(-D14)),IF($C13="softplus",LN(1+EXP(D14)),IF($C13="gaussian",EXP(-POWER(D14,2)),0)))))</f>
        <v>-4.77</v>
      </c>
      <c r="E13" s="6">
        <f>IF($C13="identity",E14,IF($C13="sigmoid",1/(1+EXP(-E14)),IF($C13="tanh",(EXP(E14)-EXP(-E14))/(EXP(E14)+EXP(-E14)),IF($C13="softplus",LN(1+EXP(E14)),IF($C13="gaussian",EXP(-POWER(E14,2)),0)))))</f>
        <v>-5.023</v>
      </c>
      <c r="F13" s="6">
        <f>IF($C13="identity",F14,IF($C13="sigmoid",1/(1+EXP(-F14)),IF($C13="tanh",(EXP(F14)-EXP(-F14))/(EXP(F14)+EXP(-F14)),IF($C13="softplus",LN(1+EXP(F14)),IF($C13="gaussian",EXP(-POWER(F14,2)),0)))))</f>
        <v>-5</v>
      </c>
      <c r="G13" s="6">
        <f>IF($C13="identity",G14,IF($C13="sigmoid",1/(1+EXP(-G14)),IF($C13="tanh",(EXP(G14)-EXP(-G14))/(EXP(G14)+EXP(-G14)),IF($C13="softplus",LN(1+EXP(G14)),IF($C13="gaussian",EXP(-POWER(G14,2)),0)))))</f>
        <v>-5.23</v>
      </c>
    </row>
    <row r="14" spans="1:7">
      <c r="A14">
        <v>0</v>
      </c>
      <c r="B14" s="7" t="s">
        <v>14</v>
      </c>
      <c r="C14" s="1">
        <v>-5</v>
      </c>
      <c r="D14" s="2">
        <f>$C15*D$4+$C14</f>
        <v>-4.77</v>
      </c>
      <c r="E14" s="2">
        <f>$C15*E$4+$C14</f>
        <v>-5.023</v>
      </c>
      <c r="F14" s="2">
        <f>$C15*F$4+$C14</f>
        <v>-5</v>
      </c>
      <c r="G14" s="2">
        <f>$C15*G$4+$C14</f>
        <v>-5.23</v>
      </c>
    </row>
    <row r="15" spans="1:3">
      <c r="A15">
        <v>1</v>
      </c>
      <c r="B15" s="7" t="s">
        <v>15</v>
      </c>
      <c r="C15" s="1">
        <v>0.23</v>
      </c>
    </row>
    <row r="16" spans="2:2">
      <c r="B16" s="4" t="s">
        <v>16</v>
      </c>
    </row>
    <row r="17" spans="2:7">
      <c r="B17" s="5" t="s">
        <v>12</v>
      </c>
      <c r="C17" s="1" t="s">
        <v>13</v>
      </c>
      <c r="D17" s="6">
        <f>IF($C17="identity",D18,IF($C17="sigmoid",1/(1+EXP(-D18)),IF($C17="tanh",(EXP(D18)-EXP(-D18))/(EXP(D18)+EXP(-D18)),IF($C17="softplus",LN(1+EXP(D18)),IF($C17="gaussian",EXP(-POWER(D18,2)),0)))))</f>
        <v>-68.4</v>
      </c>
      <c r="E17" s="6">
        <f>IF($C17="identity",E18,IF($C17="sigmoid",1/(1+EXP(-E18)),IF($C17="tanh",(EXP(E18)-EXP(-E18))/(EXP(E18)+EXP(-E18)),IF($C17="softplus",LN(1+EXP(E18)),IF($C17="gaussian",EXP(-POWER(E18,2)),0)))))</f>
        <v>1.29</v>
      </c>
      <c r="F17" s="6">
        <f>IF($C17="identity",F18,IF($C17="sigmoid",1/(1+EXP(-F18)),IF($C17="tanh",(EXP(F18)-EXP(-F18))/(EXP(F18)+EXP(-F18)),IF($C17="softplus",LN(1+EXP(F18)),IF($C17="gaussian",EXP(-POWER(F18,2)),0)))))</f>
        <v>-40.8</v>
      </c>
      <c r="G17" s="6">
        <f>IF($C17="identity",G18,IF($C17="sigmoid",1/(1+EXP(-G18)),IF($C17="tanh",(EXP(G18)-EXP(-G18))/(EXP(G18)+EXP(-G18)),IF($C17="softplus",LN(1+EXP(G18)),IF($C17="gaussian",EXP(-POWER(G18,2)),0)))))</f>
        <v>-13.2</v>
      </c>
    </row>
    <row r="18" spans="1:7">
      <c r="A18">
        <v>2</v>
      </c>
      <c r="B18" s="7" t="s">
        <v>14</v>
      </c>
      <c r="C18" s="1">
        <v>0.6</v>
      </c>
      <c r="D18" s="2">
        <f>$C19*D$5+$C18</f>
        <v>-68.4</v>
      </c>
      <c r="E18" s="2">
        <f>$C19*E$5+$C18</f>
        <v>1.29</v>
      </c>
      <c r="F18" s="2">
        <f>$C19*F$5+$C18</f>
        <v>-40.8</v>
      </c>
      <c r="G18" s="2">
        <f>$C19*G$5+$C18</f>
        <v>-13.2</v>
      </c>
    </row>
    <row r="19" spans="1:3">
      <c r="A19">
        <v>3</v>
      </c>
      <c r="B19" s="7" t="s">
        <v>15</v>
      </c>
      <c r="C19" s="1">
        <v>13.8</v>
      </c>
    </row>
    <row r="20" spans="2:2">
      <c r="B20" s="4" t="s">
        <v>17</v>
      </c>
    </row>
    <row r="21" spans="2:7">
      <c r="B21" s="5" t="s">
        <v>12</v>
      </c>
      <c r="C21" s="1" t="s">
        <v>13</v>
      </c>
      <c r="D21" s="6">
        <f>IF($C21="identity",D22,IF($C21="sigmoid",1/(1+EXP(-D22)),IF($C21="tanh",(EXP(D22)-EXP(-D22))/(EXP(D22)+EXP(-D22)),IF($C21="softplus",LN(1+EXP(D22)),IF($C21="gaussian",EXP(-POWER(D22,2)),0)))))</f>
        <v>0.635</v>
      </c>
      <c r="E21" s="6">
        <f>IF($C21="identity",E22,IF($C21="sigmoid",1/(1+EXP(-E22)),IF($C21="tanh",(EXP(E22)-EXP(-E22))/(EXP(E22)+EXP(-E22)),IF($C21="softplus",LN(1+EXP(E22)),IF($C21="gaussian",EXP(-POWER(E22,2)),0)))))</f>
        <v>-2.794</v>
      </c>
      <c r="F21" s="6">
        <f>IF($C21="identity",F22,IF($C21="sigmoid",1/(1+EXP(-F22)),IF($C21="tanh",(EXP(F22)-EXP(-F22))/(EXP(F22)+EXP(-F22)),IF($C21="softplus",LN(1+EXP(F22)),IF($C21="gaussian",EXP(-POWER(F22,2)),0)))))</f>
        <v>12.7</v>
      </c>
      <c r="G21" s="6">
        <f>IF($C21="identity",G22,IF($C21="sigmoid",1/(1+EXP(-G22)),IF($C21="tanh",(EXP(G22)-EXP(-G22))/(EXP(G22)+EXP(-G22)),IF($C21="softplus",LN(1+EXP(G22)),IF($C21="gaussian",EXP(-POWER(G22,2)),0)))))</f>
        <v>-2.54</v>
      </c>
    </row>
    <row r="22" spans="1:7">
      <c r="A22">
        <v>4</v>
      </c>
      <c r="B22" s="7" t="s">
        <v>14</v>
      </c>
      <c r="C22" s="1">
        <v>0</v>
      </c>
      <c r="D22" s="2">
        <f>$C23*D$6+$C22</f>
        <v>0.635</v>
      </c>
      <c r="E22" s="2">
        <f>$C23*E$6+$C22</f>
        <v>-2.794</v>
      </c>
      <c r="F22" s="2">
        <f>$C23*F$6+$C22</f>
        <v>12.7</v>
      </c>
      <c r="G22" s="2">
        <f>$C23*G$6+$C22</f>
        <v>-2.54</v>
      </c>
    </row>
    <row r="23" spans="1:3">
      <c r="A23">
        <v>5</v>
      </c>
      <c r="B23" s="7" t="s">
        <v>15</v>
      </c>
      <c r="C23" s="1">
        <v>2.54</v>
      </c>
    </row>
    <row r="24" spans="2:2">
      <c r="B24" s="8"/>
    </row>
    <row r="25" spans="2:2">
      <c r="B25" s="3" t="s">
        <v>18</v>
      </c>
    </row>
    <row r="26" spans="2:2">
      <c r="B26" s="4" t="s">
        <v>19</v>
      </c>
    </row>
    <row r="27" spans="1:7">
      <c r="A27">
        <v>6</v>
      </c>
      <c r="B27" s="5" t="s">
        <v>12</v>
      </c>
      <c r="C27" s="1" t="s">
        <v>13</v>
      </c>
      <c r="D27" s="6">
        <f>IF($C27="identity",D28,IF($C27="sigmoid",1/(1+EXP(-D28)),IF($C27="tanh",(EXP(D28)-EXP(-D28))/(EXP(D28)+EXP(-D28)),IF($C27="softplus",LN(1+EXP(D28)),IF($C27="gaussian",EXP(-POWER(D28,2)),0)))))</f>
        <v>-84.8116</v>
      </c>
      <c r="E27" s="6">
        <f>IF($C27="identity",E28,IF($C27="sigmoid",1/(1+EXP(-E28)),IF($C27="tanh",(EXP(E28)-EXP(-E28))/(EXP(E28)+EXP(-E28)),IF($C27="softplus",LN(1+EXP(E28)),IF($C27="gaussian",EXP(-POWER(E28,2)),0)))))</f>
        <v>-19.41549</v>
      </c>
      <c r="F27" s="6">
        <f>IF($C27="identity",F28,IF($C27="sigmoid",1/(1+EXP(-F28)),IF($C27="tanh",(EXP(F28)-EXP(-F28))/(EXP(F28)+EXP(-F28)),IF($C27="softplus",LN(1+EXP(F28)),IF($C27="gaussian",EXP(-POWER(F28,2)),0)))))</f>
        <v>12.2</v>
      </c>
      <c r="G27" s="6">
        <f>IF($C27="identity",G28,IF($C27="sigmoid",1/(1+EXP(-G28)),IF($C27="tanh",(EXP(G28)-EXP(-G28))/(EXP(G28)+EXP(-G28)),IF($C27="softplus",LN(1+EXP(G28)),IF($C27="gaussian",EXP(-POWER(G28,2)),0)))))</f>
        <v>-35.5049</v>
      </c>
    </row>
    <row r="28" spans="1:7">
      <c r="A28">
        <v>7</v>
      </c>
      <c r="B28" s="7" t="s">
        <v>14</v>
      </c>
      <c r="C28" s="1">
        <v>-5</v>
      </c>
      <c r="D28" s="2">
        <f>$C29*D$13+$C30*D$17+$C31*D$21+$C28</f>
        <v>-84.8116</v>
      </c>
      <c r="E28" s="2">
        <f>$C29*E$13+$C30*E$17+$C31*E$21+$C28</f>
        <v>-19.41549</v>
      </c>
      <c r="F28" s="2">
        <f>$C29*F$13+$C30*F$17+$C31*F$21+$C28</f>
        <v>12.2</v>
      </c>
      <c r="G28" s="2">
        <f>$C29*G$13+$C30*G$17+$C31*G$21+$C28</f>
        <v>-35.5049</v>
      </c>
    </row>
    <row r="29" spans="1:3">
      <c r="A29">
        <v>8</v>
      </c>
      <c r="B29" s="7" t="s">
        <v>15</v>
      </c>
      <c r="C29" s="1">
        <v>0.23</v>
      </c>
    </row>
    <row r="30" spans="1:3">
      <c r="A30">
        <v>9</v>
      </c>
      <c r="B30" s="7" t="s">
        <v>20</v>
      </c>
      <c r="C30" s="1">
        <v>1.2</v>
      </c>
    </row>
    <row r="31" spans="1:3">
      <c r="A31">
        <v>10</v>
      </c>
      <c r="B31" s="7" t="s">
        <v>21</v>
      </c>
      <c r="C31" s="1">
        <v>5.3</v>
      </c>
    </row>
    <row r="32" spans="2:2">
      <c r="B32" s="4" t="s">
        <v>22</v>
      </c>
    </row>
    <row r="33" spans="1:7">
      <c r="A33">
        <v>11</v>
      </c>
      <c r="B33" s="5" t="s">
        <v>12</v>
      </c>
      <c r="C33" s="1" t="s">
        <v>23</v>
      </c>
      <c r="D33" s="6">
        <f>IF($C33="identity",D34,IF($C33="sigmoid",1/(1+EXP(-D34)),IF($C33="tanh",(EXP(D34)-EXP(-D34))/(EXP(D34)+EXP(-D34)),IF($C33="softplus",LN(1+EXP(D34)),IF($C33="gaussian",EXP(-POWER(D34,2)),0)))))</f>
        <v>319.4958</v>
      </c>
      <c r="E33" s="6">
        <f>IF($C33="identity",E34,IF($C33="sigmoid",1/(1+EXP(-E34)),IF($C33="tanh",(EXP(E34)-EXP(-E34))/(EXP(E34)+EXP(-E34)),IF($C33="softplus",LN(1+EXP(E34)),IF($C33="gaussian",EXP(-POWER(E34,2)),0)))))</f>
        <v>2.45106540760707</v>
      </c>
      <c r="F33" s="6">
        <f>IF($C33="identity",F34,IF($C33="sigmoid",1/(1+EXP(-F34)),IF($C33="tanh",(EXP(F34)-EXP(-F34))/(EXP(F34)+EXP(-F34)),IF($C33="softplus",LN(1+EXP(F34)),IF($C33="gaussian",EXP(-POWER(F34,2)),0)))))</f>
        <v>180.48</v>
      </c>
      <c r="G33" s="6">
        <f>IF($C33="identity",G34,IF($C33="sigmoid",1/(1+EXP(-G34)),IF($C33="tanh",(EXP(G34)-EXP(-G34))/(EXP(G34)+EXP(-G34)),IF($C33="softplus",LN(1+EXP(G34)),IF($C33="gaussian",EXP(-POWER(G34,2)),0)))))</f>
        <v>68.7692</v>
      </c>
    </row>
    <row r="34" spans="1:7">
      <c r="A34">
        <v>12</v>
      </c>
      <c r="B34" s="7" t="s">
        <v>14</v>
      </c>
      <c r="C34" s="1">
        <v>5.3</v>
      </c>
      <c r="D34" s="2">
        <f>$C35*D$13+$C36*D$17+$C37*D$21+$C34</f>
        <v>319.4958</v>
      </c>
      <c r="E34" s="2">
        <f>$C35*E$13+$C36*E$17+$C37*E$21+$C34</f>
        <v>2.36092</v>
      </c>
      <c r="F34" s="2">
        <f>$C35*F$13+$C36*F$17+$C37*F$21+$C34</f>
        <v>180.48</v>
      </c>
      <c r="G34" s="2">
        <f>$C35*G$13+$C36*G$17+$C37*G$21+$C34</f>
        <v>68.7692</v>
      </c>
    </row>
    <row r="35" spans="1:3">
      <c r="A35">
        <v>13</v>
      </c>
      <c r="B35" s="7" t="s">
        <v>15</v>
      </c>
      <c r="C35" s="1">
        <v>-0.04</v>
      </c>
    </row>
    <row r="36" spans="1:3">
      <c r="A36">
        <v>14</v>
      </c>
      <c r="B36" s="7" t="s">
        <v>20</v>
      </c>
      <c r="C36" s="1">
        <v>-4.6</v>
      </c>
    </row>
    <row r="37" spans="1:3">
      <c r="A37">
        <v>15</v>
      </c>
      <c r="B37" s="7" t="s">
        <v>21</v>
      </c>
      <c r="C37" s="1">
        <v>-1</v>
      </c>
    </row>
    <row r="38" spans="2:2">
      <c r="B38" s="4" t="s">
        <v>24</v>
      </c>
    </row>
    <row r="39" spans="1:7">
      <c r="A39">
        <v>16</v>
      </c>
      <c r="B39" s="5" t="s">
        <v>12</v>
      </c>
      <c r="C39" s="1" t="s">
        <v>25</v>
      </c>
      <c r="D39" s="6">
        <f>IF($C39="identity",D40,IF($C39="sigmoid",1/(1+EXP(-D40)),IF($C39="tanh",(EXP(D40)-EXP(-D40))/(EXP(D40)+EXP(-D40)),IF($C39="softplus",LN(1+EXP(D40)),IF($C39="gaussian",EXP(-POWER(D40,2)),0)))))</f>
        <v>-1</v>
      </c>
      <c r="E39" s="6">
        <f>IF($C39="identity",E40,IF($C39="sigmoid",1/(1+EXP(-E40)),IF($C39="tanh",(EXP(E40)-EXP(-E40))/(EXP(E40)+EXP(-E40)),IF($C39="softplus",LN(1+EXP(E40)),IF($C39="gaussian",EXP(-POWER(E40,2)),0)))))</f>
        <v>0.99853483244595</v>
      </c>
      <c r="F39" s="6">
        <f>IF($C39="identity",F40,IF($C39="sigmoid",1/(1+EXP(-F40)),IF($C39="tanh",(EXP(F40)-EXP(-F40))/(EXP(F40)+EXP(-F40)),IF($C39="softplus",LN(1+EXP(F40)),IF($C39="gaussian",EXP(-POWER(F40,2)),0)))))</f>
        <v>-1</v>
      </c>
      <c r="G39" s="6">
        <f>IF($C39="identity",G40,IF($C39="sigmoid",1/(1+EXP(-G40)),IF($C39="tanh",(EXP(G40)-EXP(-G40))/(EXP(G40)+EXP(-G40)),IF($C39="softplus",LN(1+EXP(G40)),IF($C39="gaussian",EXP(-POWER(G40,2)),0)))))</f>
        <v>-1</v>
      </c>
    </row>
    <row r="40" spans="1:7">
      <c r="A40">
        <v>17</v>
      </c>
      <c r="B40" s="7" t="s">
        <v>14</v>
      </c>
      <c r="C40" s="1">
        <v>1</v>
      </c>
      <c r="D40" s="2">
        <f>$C41*D$13+$C42*D$17+$C43*D$21+$C40</f>
        <v>-618.158</v>
      </c>
      <c r="E40" s="2">
        <f>$C41*E$13+$C42*E$17+$C43*E$21+$C40</f>
        <v>3.6091</v>
      </c>
      <c r="F40" s="2">
        <f>$C41*F$13+$C42*F$17+$C43*F$21+$C40</f>
        <v>-380.24</v>
      </c>
      <c r="G40" s="2">
        <f>$C41*G$13+$C42*G$17+$C43*G$21+$C40</f>
        <v>-125.939</v>
      </c>
    </row>
    <row r="41" spans="1:3">
      <c r="A41">
        <v>18</v>
      </c>
      <c r="B41" s="7" t="s">
        <v>15</v>
      </c>
      <c r="C41" s="1">
        <v>2.1</v>
      </c>
    </row>
    <row r="42" spans="1:3">
      <c r="A42">
        <v>19</v>
      </c>
      <c r="B42" s="7" t="s">
        <v>20</v>
      </c>
      <c r="C42" s="1">
        <v>8.9</v>
      </c>
    </row>
    <row r="43" spans="1:3">
      <c r="A43">
        <v>20</v>
      </c>
      <c r="B43" s="7" t="s">
        <v>21</v>
      </c>
      <c r="C43" s="1">
        <v>-0.6</v>
      </c>
    </row>
    <row r="44" spans="2:2">
      <c r="B44" s="4" t="s">
        <v>26</v>
      </c>
    </row>
    <row r="45" spans="1:7">
      <c r="A45">
        <v>21</v>
      </c>
      <c r="B45" s="5" t="s">
        <v>12</v>
      </c>
      <c r="C45" s="1" t="s">
        <v>27</v>
      </c>
      <c r="D45" s="6">
        <f>IF($C45="identity",D46,IF($C45="sigmoid",1/(1+EXP(-D46)),IF($C45="tanh",(EXP(D46)-EXP(-D46))/(EXP(D46)+EXP(-D46)),IF($C45="softplus",LN(1+EXP(D46)),IF($C45="gaussian",EXP(-POWER(D46,2)),0)))))</f>
        <v>0.204785304533942</v>
      </c>
      <c r="E45" s="6">
        <f>IF($C45="identity",E46,IF($C45="sigmoid",1/(1+EXP(-E46)),IF($C45="tanh",(EXP(E46)-EXP(-E46))/(EXP(E46)+EXP(-E46)),IF($C45="softplus",LN(1+EXP(E46)),IF($C45="gaussian",EXP(-POWER(E46,2)),0)))))</f>
        <v>0.482944120098951</v>
      </c>
      <c r="F45" s="6">
        <f>IF($C45="identity",F46,IF($C45="sigmoid",1/(1+EXP(-F46)),IF($C45="tanh",(EXP(F46)-EXP(-F46))/(EXP(F46)+EXP(-F46)),IF($C45="softplus",LN(1+EXP(F46)),IF($C45="gaussian",EXP(-POWER(F46,2)),0)))))</f>
        <v>0.390550216371675</v>
      </c>
      <c r="G45" s="6">
        <f>IF($C45="identity",G46,IF($C45="sigmoid",1/(1+EXP(-G46)),IF($C45="tanh",(EXP(G46)-EXP(-G46))/(EXP(G46)+EXP(-G46)),IF($C45="softplus",LN(1+EXP(G46)),IF($C45="gaussian",EXP(-POWER(G46,2)),0)))))</f>
        <v>0.412776309160665</v>
      </c>
    </row>
    <row r="46" spans="1:7">
      <c r="A46">
        <v>22</v>
      </c>
      <c r="B46" s="7" t="s">
        <v>14</v>
      </c>
      <c r="C46" s="1">
        <v>0.04</v>
      </c>
      <c r="D46" s="2">
        <f>$C47*D$13+$C48*D$17+$C49*D$21+$C46</f>
        <v>-1.35665</v>
      </c>
      <c r="E46" s="2">
        <f>$C47*E$13+$C48*E$17+$C49*E$21+$C46</f>
        <v>-0.06825</v>
      </c>
      <c r="F46" s="2">
        <f>$C47*F$13+$C48*F$17+$C49*F$21+$C46</f>
        <v>-0.445</v>
      </c>
      <c r="G46" s="2">
        <f>$C47*G$13+$C48*G$17+$C49*G$21+$C46</f>
        <v>-0.3525</v>
      </c>
    </row>
    <row r="47" spans="1:3">
      <c r="A47">
        <v>23</v>
      </c>
      <c r="B47" s="7" t="s">
        <v>15</v>
      </c>
      <c r="C47" s="1">
        <v>0.01</v>
      </c>
    </row>
    <row r="48" spans="1:3">
      <c r="A48">
        <v>24</v>
      </c>
      <c r="B48" s="7" t="s">
        <v>20</v>
      </c>
      <c r="C48" s="1">
        <v>0.02</v>
      </c>
    </row>
    <row r="49" spans="1:3">
      <c r="A49">
        <v>25</v>
      </c>
      <c r="B49" s="7" t="s">
        <v>21</v>
      </c>
      <c r="C49" s="1">
        <v>0.03</v>
      </c>
    </row>
    <row r="50" spans="2:2">
      <c r="B50" s="4" t="s">
        <v>28</v>
      </c>
    </row>
    <row r="51" spans="1:7">
      <c r="A51">
        <v>26</v>
      </c>
      <c r="B51" s="5" t="s">
        <v>12</v>
      </c>
      <c r="C51" s="1" t="s">
        <v>29</v>
      </c>
      <c r="D51" s="6">
        <f>IF($C51="identity",D52,IF($C51="sigmoid",1/(1+EXP(-D52)),IF($C51="tanh",(EXP(D52)-EXP(-D52))/(EXP(D52)+EXP(-D52)),IF($C51="softplus",LN(1+EXP(D52)),IF($C51="gaussian",EXP(-POWER(D52,2)),0)))))</f>
        <v>0.805554031824201</v>
      </c>
      <c r="E51" s="6">
        <f>IF($C51="identity",E52,IF($C51="sigmoid",1/(1+EXP(-E52)),IF($C51="tanh",(EXP(E52)-EXP(-E52))/(EXP(E52)+EXP(-E52)),IF($C51="softplus",LN(1+EXP(E52)),IF($C51="gaussian",EXP(-POWER(E52,2)),0)))))</f>
        <v>0.954209290041129</v>
      </c>
      <c r="F51" s="6">
        <f>IF($C51="identity",F52,IF($C51="sigmoid",1/(1+EXP(-F52)),IF($C51="tanh",(EXP(F52)-EXP(-F52))/(EXP(F52)+EXP(-F52)),IF($C51="softplus",LN(1+EXP(F52)),IF($C51="gaussian",EXP(-POWER(F52,2)),0)))))</f>
        <v>0</v>
      </c>
      <c r="G51" s="6">
        <f>IF($C51="identity",G52,IF($C51="sigmoid",1/(1+EXP(-G52)),IF($C51="tanh",(EXP(G52)-EXP(-G52))/(EXP(G52)+EXP(-G52)),IF($C51="softplus",LN(1+EXP(G52)),IF($C51="gaussian",EXP(-POWER(G52,2)),0)))))</f>
        <v>4.4595186622541e-9</v>
      </c>
    </row>
    <row r="52" spans="1:7">
      <c r="A52">
        <v>27</v>
      </c>
      <c r="B52" s="7" t="s">
        <v>14</v>
      </c>
      <c r="C52" s="1">
        <v>25</v>
      </c>
      <c r="D52" s="2">
        <f>$C53*D$13+$C54*D$17+$C55*D$21+$C52</f>
        <v>-0.465000000000003</v>
      </c>
      <c r="E52" s="2">
        <f>$C53*E$13+$C54*E$17+$C55*E$21+$C52</f>
        <v>0.216499999999996</v>
      </c>
      <c r="F52" s="2">
        <f>$C53*F$13+$C54*F$17+$C55*F$21+$C52</f>
        <v>134.1</v>
      </c>
      <c r="G52" s="2">
        <f>$C53*G$13+$C54*G$17+$C55*G$21+$C52</f>
        <v>-4.385</v>
      </c>
    </row>
    <row r="53" spans="1:3">
      <c r="A53">
        <v>28</v>
      </c>
      <c r="B53" s="7" t="s">
        <v>15</v>
      </c>
      <c r="C53" s="1">
        <v>-0.5</v>
      </c>
    </row>
    <row r="54" spans="1:3">
      <c r="A54">
        <v>29</v>
      </c>
      <c r="B54" s="7" t="s">
        <v>20</v>
      </c>
      <c r="C54" s="1">
        <v>0.5</v>
      </c>
    </row>
    <row r="55" spans="1:3">
      <c r="A55">
        <v>30</v>
      </c>
      <c r="B55" s="7" t="s">
        <v>21</v>
      </c>
      <c r="C55" s="1">
        <v>10</v>
      </c>
    </row>
    <row r="56" spans="2:2">
      <c r="B56" s="8"/>
    </row>
    <row r="57" spans="2:2">
      <c r="B57" s="3" t="s">
        <v>30</v>
      </c>
    </row>
    <row r="58" spans="2:2">
      <c r="B58" s="4" t="s">
        <v>9</v>
      </c>
    </row>
    <row r="59" spans="1:7">
      <c r="A59">
        <v>31</v>
      </c>
      <c r="B59" s="5" t="s">
        <v>12</v>
      </c>
      <c r="C59" s="1" t="s">
        <v>13</v>
      </c>
      <c r="D59" s="6">
        <f>IF($C59="identity",D60,IF($C59="sigmoid",1/(1+EXP(-D60)),IF($C59="tanh",(EXP(D60)-EXP(-D60))/(EXP(D60)+EXP(-D60)),IF($C59="softplus",LN(1+EXP(D60)),IF($C59="gaussian",EXP(-POWER(D60,2)),0)))))</f>
        <v>358.103470734109</v>
      </c>
      <c r="E59" s="6">
        <f>IF($C59="identity",E60,IF($C59="sigmoid",1/(1+EXP(-E60)),IF($C59="tanh",(EXP(E60)-EXP(-E60))/(EXP(E60)+EXP(-E60)),IF($C59="softplus",LN(1+EXP(E60)),IF($C59="gaussian",EXP(-POWER(E60,2)),0)))))</f>
        <v>4.40479258242874</v>
      </c>
      <c r="F59" s="6">
        <f>IF($C59="identity",F60,IF($C59="sigmoid",1/(1+EXP(-F60)),IF($C59="tanh",(EXP(F60)-EXP(-F60))/(EXP(F60)+EXP(-F60)),IF($C59="softplus",LN(1+EXP(F60)),IF($C59="gaussian",EXP(-POWER(F60,2)),0)))))</f>
        <v>209.550660259646</v>
      </c>
      <c r="G59" s="6">
        <f>IF($C59="identity",G60,IF($C59="sigmoid",1/(1+EXP(-G60)),IF($C59="tanh",(EXP(G60)-EXP(-G60))/(EXP(G60)+EXP(-G60)),IF($C59="softplus",LN(1+EXP(G60)),IF($C59="gaussian",EXP(-POWER(G60,2)),0)))))</f>
        <v>64.5522445946282</v>
      </c>
    </row>
    <row r="60" spans="1:7">
      <c r="A60">
        <v>32</v>
      </c>
      <c r="B60" s="7" t="s">
        <v>14</v>
      </c>
      <c r="C60" s="1">
        <v>-5</v>
      </c>
      <c r="D60" s="2">
        <f>$C61*D$27+$C62*D$33+$C63*D$39+$C64*D$45+$C65*D$51+$C60</f>
        <v>358.103470734109</v>
      </c>
      <c r="E60" s="2">
        <f>$C61*E$27+$C62*E$33+$C63*E$39+$C64*E$45+$C65*E$51+$C60</f>
        <v>4.40479258242874</v>
      </c>
      <c r="F60" s="2">
        <f>$C61*F$27+$C62*F$33+$C63*F$39+$C64*F$45+$C65*F$51+$C60</f>
        <v>209.550660259646</v>
      </c>
      <c r="G60" s="2">
        <f>$C61*G$27+$C62*G$33+$C63*G$39+$C64*G$45+$C65*G$51+$C60</f>
        <v>64.5522445946282</v>
      </c>
    </row>
    <row r="61" spans="1:3">
      <c r="A61">
        <v>33</v>
      </c>
      <c r="B61" s="7" t="s">
        <v>15</v>
      </c>
      <c r="C61" s="1">
        <v>0.23</v>
      </c>
    </row>
    <row r="62" spans="1:3">
      <c r="A62">
        <v>34</v>
      </c>
      <c r="B62" s="7" t="s">
        <v>20</v>
      </c>
      <c r="C62" s="1">
        <v>1.2</v>
      </c>
    </row>
    <row r="63" spans="1:3">
      <c r="A63">
        <v>35</v>
      </c>
      <c r="B63" s="7" t="s">
        <v>21</v>
      </c>
      <c r="C63" s="1">
        <v>5.3</v>
      </c>
    </row>
    <row r="64" spans="1:3">
      <c r="A64">
        <v>36</v>
      </c>
      <c r="B64" s="7" t="s">
        <v>31</v>
      </c>
      <c r="C64" s="1">
        <v>1.2</v>
      </c>
    </row>
    <row r="65" spans="1:3">
      <c r="A65">
        <v>37</v>
      </c>
      <c r="B65" s="7" t="s">
        <v>32</v>
      </c>
      <c r="C65" s="1">
        <v>5.3</v>
      </c>
    </row>
    <row r="66" spans="2:2">
      <c r="B66" s="8"/>
    </row>
    <row r="67" spans="1:1">
      <c r="A67" s="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74"/>
  <sheetViews>
    <sheetView tabSelected="1" topLeftCell="A31" workbookViewId="0">
      <selection activeCell="I19" sqref="$A1:$XFD1048576"/>
    </sheetView>
  </sheetViews>
  <sheetFormatPr defaultColWidth="8.88888888888889" defaultRowHeight="14.4" outlineLevelCol="6"/>
  <cols>
    <col min="3" max="3" width="8.88888888888889" style="1"/>
    <col min="4" max="5" width="7" style="2" customWidth="1"/>
    <col min="6" max="17" width="8.88888888888889" style="2"/>
  </cols>
  <sheetData>
    <row r="3" spans="2:2">
      <c r="B3" s="3" t="s">
        <v>0</v>
      </c>
    </row>
    <row r="4" spans="2:7">
      <c r="B4" t="s">
        <v>1</v>
      </c>
      <c r="C4" s="1" t="s">
        <v>2</v>
      </c>
      <c r="D4" s="2">
        <v>1</v>
      </c>
      <c r="E4" s="2">
        <v>-0.1</v>
      </c>
      <c r="F4" s="2">
        <v>0</v>
      </c>
      <c r="G4" s="2">
        <v>-1</v>
      </c>
    </row>
    <row r="5" spans="2:7">
      <c r="B5" t="s">
        <v>3</v>
      </c>
      <c r="C5" s="1" t="s">
        <v>4</v>
      </c>
      <c r="D5" s="2">
        <v>-5</v>
      </c>
      <c r="E5" s="2">
        <v>0.05</v>
      </c>
      <c r="F5" s="2">
        <v>-3</v>
      </c>
      <c r="G5" s="2">
        <v>-1</v>
      </c>
    </row>
    <row r="6" spans="2:7">
      <c r="B6" t="s">
        <v>5</v>
      </c>
      <c r="C6" s="1" t="s">
        <v>6</v>
      </c>
      <c r="D6" s="2">
        <v>0.25</v>
      </c>
      <c r="E6" s="2">
        <v>-1.1</v>
      </c>
      <c r="F6" s="2">
        <v>2</v>
      </c>
      <c r="G6" s="2">
        <v>-1</v>
      </c>
    </row>
    <row r="8" spans="2:2">
      <c r="B8" s="3" t="s">
        <v>7</v>
      </c>
    </row>
    <row r="9" spans="2:7">
      <c r="B9" t="s">
        <v>8</v>
      </c>
      <c r="C9" s="4" t="s">
        <v>9</v>
      </c>
      <c r="D9" s="2">
        <f t="shared" ref="D9:G9" si="0">D60</f>
        <v>-53.3715221646747</v>
      </c>
      <c r="E9" s="2">
        <f t="shared" si="0"/>
        <v>107.161734817953</v>
      </c>
      <c r="F9" s="2">
        <f t="shared" si="0"/>
        <v>-35.9621820746993</v>
      </c>
      <c r="G9" s="2">
        <f t="shared" si="0"/>
        <v>-57.6998301798879</v>
      </c>
    </row>
    <row r="10" spans="2:7">
      <c r="B10" t="s">
        <v>33</v>
      </c>
      <c r="C10" s="4" t="s">
        <v>34</v>
      </c>
      <c r="D10" s="2">
        <f t="shared" ref="D10:G10" si="1">D68</f>
        <v>146.408201315051</v>
      </c>
      <c r="E10" s="2">
        <f t="shared" si="1"/>
        <v>179.392092569437</v>
      </c>
      <c r="F10" s="2">
        <f t="shared" si="1"/>
        <v>347.189125665364</v>
      </c>
      <c r="G10" s="2">
        <f t="shared" si="1"/>
        <v>97.2893002888476</v>
      </c>
    </row>
    <row r="12" spans="2:2">
      <c r="B12" s="3" t="s">
        <v>10</v>
      </c>
    </row>
    <row r="13" spans="2:2">
      <c r="B13" s="4" t="s">
        <v>11</v>
      </c>
    </row>
    <row r="14" spans="1:7">
      <c r="A14">
        <v>0</v>
      </c>
      <c r="B14" s="5" t="s">
        <v>12</v>
      </c>
      <c r="C14" s="1" t="s">
        <v>27</v>
      </c>
      <c r="D14" s="6">
        <f>IF($C14="identity",D15,IF($C14="sigmoid",1/(1+EXP(-D15)),IF($C14="tanh",(EXP(D15)-EXP(-D15))/(EXP(D15)+EXP(-D15)),IF($C14="softplus",LN(1+EXP(D15)),IF($C14="gaussian",EXP(-POWER(D15,2)),0)))))</f>
        <v>0.00840906806596298</v>
      </c>
      <c r="E14" s="6">
        <f>IF($C14="identity",E15,IF($C14="sigmoid",1/(1+EXP(-E15)),IF($C14="tanh",(EXP(E15)-EXP(-E15))/(EXP(E15)+EXP(-E15)),IF($C14="softplus",LN(1+EXP(E15)),IF($C14="gaussian",EXP(-POWER(E15,2)),0)))))</f>
        <v>0.00654166762096193</v>
      </c>
      <c r="F14" s="6">
        <f>IF($C14="identity",F15,IF($C14="sigmoid",1/(1+EXP(-F15)),IF($C14="tanh",(EXP(F15)-EXP(-F15))/(EXP(F15)+EXP(-F15)),IF($C14="softplus",LN(1+EXP(F15)),IF($C14="gaussian",EXP(-POWER(F15,2)),0)))))</f>
        <v>0.00669285092428486</v>
      </c>
      <c r="G14" s="6">
        <f>IF($C14="identity",G15,IF($C14="sigmoid",1/(1+EXP(-G15)),IF($C14="tanh",(EXP(G15)-EXP(-G15))/(EXP(G15)+EXP(-G15)),IF($C14="softplus",LN(1+EXP(G15)),IF($C14="gaussian",EXP(-POWER(G15,2)),0)))))</f>
        <v>0.00532501768574217</v>
      </c>
    </row>
    <row r="15" spans="1:7">
      <c r="A15">
        <v>1</v>
      </c>
      <c r="B15" s="7" t="s">
        <v>14</v>
      </c>
      <c r="C15" s="1">
        <v>-5</v>
      </c>
      <c r="D15" s="2">
        <f>$C16*D$4+$C15</f>
        <v>-4.77</v>
      </c>
      <c r="E15" s="2">
        <f>$C16*E$4+$C15</f>
        <v>-5.023</v>
      </c>
      <c r="F15" s="2">
        <f>$C16*F$4+$C15</f>
        <v>-5</v>
      </c>
      <c r="G15" s="2">
        <f>$C16*G$4+$C15</f>
        <v>-5.23</v>
      </c>
    </row>
    <row r="16" spans="1:3">
      <c r="A16">
        <v>2</v>
      </c>
      <c r="B16" s="7" t="s">
        <v>15</v>
      </c>
      <c r="C16" s="1">
        <v>0.23</v>
      </c>
    </row>
    <row r="17" spans="2:2">
      <c r="B17" s="4" t="s">
        <v>16</v>
      </c>
    </row>
    <row r="18" spans="1:7">
      <c r="A18">
        <v>3</v>
      </c>
      <c r="B18" s="5" t="s">
        <v>12</v>
      </c>
      <c r="C18" s="1" t="s">
        <v>25</v>
      </c>
      <c r="D18" s="6">
        <f>IF($C18="identity",D19,IF($C18="sigmoid",1/(1+EXP(-D19)),IF($C18="tanh",(EXP(D19)-EXP(-D19))/(EXP(D19)+EXP(-D19)),IF($C18="softplus",LN(1+EXP(D19)),IF($C18="gaussian",EXP(-POWER(D19,2)),0)))))</f>
        <v>-1</v>
      </c>
      <c r="E18" s="6">
        <f>IF($C18="identity",E19,IF($C18="sigmoid",1/(1+EXP(-E19)),IF($C18="tanh",(EXP(E19)-EXP(-E19))/(EXP(E19)+EXP(-E19)),IF($C18="softplus",LN(1+EXP(E19)),IF($C18="gaussian",EXP(-POWER(E19,2)),0)))))</f>
        <v>0.859126538214366</v>
      </c>
      <c r="F18" s="6">
        <f>IF($C18="identity",F19,IF($C18="sigmoid",1/(1+EXP(-F19)),IF($C18="tanh",(EXP(F19)-EXP(-F19))/(EXP(F19)+EXP(-F19)),IF($C18="softplus",LN(1+EXP(F19)),IF($C18="gaussian",EXP(-POWER(F19,2)),0)))))</f>
        <v>-1</v>
      </c>
      <c r="G18" s="6">
        <f>IF($C18="identity",G19,IF($C18="sigmoid",1/(1+EXP(-G19)),IF($C18="tanh",(EXP(G19)-EXP(-G19))/(EXP(G19)+EXP(-G19)),IF($C18="softplus",LN(1+EXP(G19)),IF($C18="gaussian",EXP(-POWER(G19,2)),0)))))</f>
        <v>-0.99999999999315</v>
      </c>
    </row>
    <row r="19" spans="1:7">
      <c r="A19">
        <v>4</v>
      </c>
      <c r="B19" s="7" t="s">
        <v>14</v>
      </c>
      <c r="C19" s="1">
        <v>0.6</v>
      </c>
      <c r="D19" s="2">
        <f>$C20*D$5+$C19</f>
        <v>-68.4</v>
      </c>
      <c r="E19" s="2">
        <f>$C20*E$5+$C19</f>
        <v>1.29</v>
      </c>
      <c r="F19" s="2">
        <f>$C20*F$5+$C19</f>
        <v>-40.8</v>
      </c>
      <c r="G19" s="2">
        <f>$C20*G$5+$C19</f>
        <v>-13.2</v>
      </c>
    </row>
    <row r="20" spans="1:3">
      <c r="A20">
        <v>5</v>
      </c>
      <c r="B20" s="7" t="s">
        <v>15</v>
      </c>
      <c r="C20" s="1">
        <v>13.8</v>
      </c>
    </row>
    <row r="21" spans="2:2">
      <c r="B21" s="4" t="s">
        <v>17</v>
      </c>
    </row>
    <row r="22" spans="1:7">
      <c r="A22">
        <v>6</v>
      </c>
      <c r="B22" s="5" t="s">
        <v>12</v>
      </c>
      <c r="C22" s="1" t="s">
        <v>23</v>
      </c>
      <c r="D22" s="6">
        <f>IF($C22="identity",D23,IF($C22="sigmoid",1/(1+EXP(-D23)),IF($C22="tanh",(EXP(D23)-EXP(-D23))/(EXP(D23)+EXP(-D23)),IF($C22="softplus",LN(1+EXP(D23)),IF($C22="gaussian",EXP(-POWER(D23,2)),0)))))</f>
        <v>1.06022557001708</v>
      </c>
      <c r="E22" s="6">
        <f>IF($C22="identity",E23,IF($C22="sigmoid",1/(1+EXP(-E23)),IF($C22="tanh",(EXP(E23)-EXP(-E23))/(EXP(E23)+EXP(-E23)),IF($C22="softplus",LN(1+EXP(E23)),IF($C22="gaussian",EXP(-POWER(E23,2)),0)))))</f>
        <v>0.0593777457537416</v>
      </c>
      <c r="F22" s="6">
        <f>IF($C22="identity",F23,IF($C22="sigmoid",1/(1+EXP(-F23)),IF($C22="tanh",(EXP(F23)-EXP(-F23))/(EXP(F23)+EXP(-F23)),IF($C22="softplus",LN(1+EXP(F23)),IF($C22="gaussian",EXP(-POWER(F23,2)),0)))))</f>
        <v>5.08620064521996</v>
      </c>
      <c r="G22" s="6">
        <f>IF($C22="identity",G23,IF($C22="sigmoid",1/(1+EXP(-G23)),IF($C22="tanh",(EXP(G23)-EXP(-G23))/(EXP(G23)+EXP(-G23)),IF($C22="softplus",LN(1+EXP(G23)),IF($C22="gaussian",EXP(-POWER(G23,2)),0)))))</f>
        <v>0.0759108600655253</v>
      </c>
    </row>
    <row r="23" spans="1:7">
      <c r="A23">
        <v>7</v>
      </c>
      <c r="B23" s="7" t="s">
        <v>14</v>
      </c>
      <c r="C23" s="1">
        <v>0</v>
      </c>
      <c r="D23" s="2">
        <f>$C24*D$6+$C23</f>
        <v>0.635</v>
      </c>
      <c r="E23" s="2">
        <f>$C24*E$6+$C23</f>
        <v>-2.794</v>
      </c>
      <c r="F23" s="2">
        <f>$C24*F$6+$C23</f>
        <v>5.08</v>
      </c>
      <c r="G23" s="2">
        <f>$C24*G$6+$C23</f>
        <v>-2.54</v>
      </c>
    </row>
    <row r="24" spans="1:3">
      <c r="A24">
        <v>8</v>
      </c>
      <c r="B24" s="7" t="s">
        <v>15</v>
      </c>
      <c r="C24" s="1">
        <v>2.54</v>
      </c>
    </row>
    <row r="25" spans="2:2">
      <c r="B25" s="8"/>
    </row>
    <row r="26" spans="2:2">
      <c r="B26" s="3" t="s">
        <v>18</v>
      </c>
    </row>
    <row r="27" spans="2:2">
      <c r="B27" s="4" t="s">
        <v>19</v>
      </c>
    </row>
    <row r="28" spans="2:7">
      <c r="B28" s="5" t="s">
        <v>12</v>
      </c>
      <c r="C28" s="1" t="s">
        <v>13</v>
      </c>
      <c r="D28" s="6">
        <f>IF($C28="identity",D29,IF($C28="sigmoid",1/(1+EXP(-D29)),IF($C28="tanh",(EXP(D29)-EXP(-D29))/(EXP(D29)+EXP(-D29)),IF($C28="softplus",LN(1+EXP(D29)),IF($C28="gaussian",EXP(-POWER(D29,2)),0)))))</f>
        <v>-0.578870393254329</v>
      </c>
      <c r="E28" s="6">
        <f>IF($C28="identity",E29,IF($C28="sigmoid",1/(1+EXP(-E29)),IF($C28="tanh",(EXP(E29)-EXP(-E29))/(EXP(E29)+EXP(-E29)),IF($C28="softplus",LN(1+EXP(E29)),IF($C28="gaussian",EXP(-POWER(E29,2)),0)))))</f>
        <v>-3.65284151809511</v>
      </c>
      <c r="F28" s="6">
        <f>IF($C28="identity",F29,IF($C28="sigmoid",1/(1+EXP(-F29)),IF($C28="tanh",(EXP(F29)-EXP(-F29))/(EXP(F29)+EXP(-F29)),IF($C28="softplus",LN(1+EXP(F29)),IF($C28="gaussian",EXP(-POWER(F29,2)),0)))))</f>
        <v>20.7584027753784</v>
      </c>
      <c r="G28" s="6">
        <f>IF($C28="identity",G29,IF($C28="sigmoid",1/(1+EXP(-G29)),IF($C28="tanh",(EXP(G29)-EXP(-G29))/(EXP(G29)+EXP(-G29)),IF($C28="softplus",LN(1+EXP(G29)),IF($C28="gaussian",EXP(-POWER(G29,2)),0)))))</f>
        <v>-5.79644768757678</v>
      </c>
    </row>
    <row r="29" spans="1:7">
      <c r="A29">
        <v>9</v>
      </c>
      <c r="B29" s="7" t="s">
        <v>14</v>
      </c>
      <c r="C29" s="1">
        <v>-5</v>
      </c>
      <c r="D29" s="2">
        <f>$C30*D$14+$C31*D$18+$C32*D$22+$C29</f>
        <v>-0.578870393254329</v>
      </c>
      <c r="E29" s="2">
        <f>$C30*E$14+$C31*E$18+$C32*E$22+$C29</f>
        <v>-3.65284151809511</v>
      </c>
      <c r="F29" s="2">
        <f>$C30*F$14+$C31*F$18+$C32*F$22+$C29</f>
        <v>20.7584027753784</v>
      </c>
      <c r="G29" s="2">
        <f>$C30*G$14+$C31*G$18+$C32*G$22+$C29</f>
        <v>-5.79644768757678</v>
      </c>
    </row>
    <row r="30" spans="1:3">
      <c r="A30">
        <v>10</v>
      </c>
      <c r="B30" s="7" t="s">
        <v>15</v>
      </c>
      <c r="C30" s="1">
        <v>0.23</v>
      </c>
    </row>
    <row r="31" spans="1:3">
      <c r="A31">
        <v>11</v>
      </c>
      <c r="B31" s="7" t="s">
        <v>20</v>
      </c>
      <c r="C31" s="1">
        <v>1.2</v>
      </c>
    </row>
    <row r="32" spans="1:3">
      <c r="A32">
        <v>12</v>
      </c>
      <c r="B32" s="7" t="s">
        <v>21</v>
      </c>
      <c r="C32" s="1">
        <v>5.3</v>
      </c>
    </row>
    <row r="33" spans="2:2">
      <c r="B33" s="4" t="s">
        <v>22</v>
      </c>
    </row>
    <row r="34" spans="2:7">
      <c r="B34" s="5" t="s">
        <v>12</v>
      </c>
      <c r="C34" s="1" t="s">
        <v>13</v>
      </c>
      <c r="D34" s="6">
        <f>IF($C34="identity",D35,IF($C34="sigmoid",1/(1+EXP(-D35)),IF($C34="tanh",(EXP(D35)-EXP(-D35))/(EXP(D35)+EXP(-D35)),IF($C34="softplus",LN(1+EXP(D35)),IF($C34="gaussian",EXP(-POWER(D35,2)),0)))))</f>
        <v>8.83943806726029</v>
      </c>
      <c r="E34" s="6">
        <f>IF($C34="identity",E35,IF($C34="sigmoid",1/(1+EXP(-E35)),IF($C34="tanh",(EXP(E35)-EXP(-E35))/(EXP(E35)+EXP(-E35)),IF($C34="softplus",LN(1+EXP(E35)),IF($C34="gaussian",EXP(-POWER(E35,2)),0)))))</f>
        <v>1.28837851175534</v>
      </c>
      <c r="F34" s="6">
        <f>IF($C34="identity",F35,IF($C34="sigmoid",1/(1+EXP(-F35)),IF($C34="tanh",(EXP(F35)-EXP(-F35))/(EXP(F35)+EXP(-F35)),IF($C34="softplus",LN(1+EXP(F35)),IF($C34="gaussian",EXP(-POWER(F35,2)),0)))))</f>
        <v>4.81353164074306</v>
      </c>
      <c r="G34" s="6">
        <f>IF($C34="identity",G35,IF($C34="sigmoid",1/(1+EXP(-G35)),IF($C34="tanh",(EXP(G35)-EXP(-G35))/(EXP(G35)+EXP(-G35)),IF($C34="softplus",LN(1+EXP(G35)),IF($C34="gaussian",EXP(-POWER(G35,2)),0)))))</f>
        <v>9.82387613919554</v>
      </c>
    </row>
    <row r="35" spans="1:7">
      <c r="A35">
        <v>13</v>
      </c>
      <c r="B35" s="7" t="s">
        <v>14</v>
      </c>
      <c r="C35" s="1">
        <v>5.3</v>
      </c>
      <c r="D35" s="2">
        <f>$C36*D$14+$C37*D$18+$C38*D$22+$C35</f>
        <v>8.83943806726029</v>
      </c>
      <c r="E35" s="2">
        <f>$C36*E$14+$C37*E$18+$C38*E$22+$C35</f>
        <v>1.28837851175534</v>
      </c>
      <c r="F35" s="2">
        <f>$C36*F$14+$C37*F$18+$C38*F$22+$C35</f>
        <v>4.81353164074306</v>
      </c>
      <c r="G35" s="2">
        <f>$C36*G$14+$C37*G$18+$C38*G$22+$C35</f>
        <v>9.82387613919554</v>
      </c>
    </row>
    <row r="36" spans="1:3">
      <c r="A36">
        <v>14</v>
      </c>
      <c r="B36" s="7" t="s">
        <v>15</v>
      </c>
      <c r="C36" s="1">
        <v>-0.04</v>
      </c>
    </row>
    <row r="37" spans="1:3">
      <c r="A37">
        <v>15</v>
      </c>
      <c r="B37" s="7" t="s">
        <v>20</v>
      </c>
      <c r="C37" s="1">
        <v>-4.6</v>
      </c>
    </row>
    <row r="38" spans="1:3">
      <c r="A38">
        <v>16</v>
      </c>
      <c r="B38" s="7" t="s">
        <v>21</v>
      </c>
      <c r="C38" s="1">
        <v>-1</v>
      </c>
    </row>
    <row r="39" spans="2:2">
      <c r="B39" s="4" t="s">
        <v>24</v>
      </c>
    </row>
    <row r="40" spans="2:7">
      <c r="B40" s="5" t="s">
        <v>12</v>
      </c>
      <c r="C40" s="1" t="s">
        <v>13</v>
      </c>
      <c r="D40" s="6">
        <f>IF($C40="identity",D41,IF($C40="sigmoid",1/(1+EXP(-D41)),IF($C40="tanh",(EXP(D41)-EXP(-D41))/(EXP(D41)+EXP(-D41)),IF($C40="softplus",LN(1+EXP(D41)),IF($C40="gaussian",EXP(-POWER(D41,2)),0)))))</f>
        <v>-8.51847629907172</v>
      </c>
      <c r="E40" s="6">
        <f>IF($C40="identity",E41,IF($C40="sigmoid",1/(1+EXP(-E41)),IF($C40="tanh",(EXP(E41)-EXP(-E41))/(EXP(E41)+EXP(-E41)),IF($C40="softplus",LN(1+EXP(E41)),IF($C40="gaussian",EXP(-POWER(E41,2)),0)))))</f>
        <v>8.62433704465963</v>
      </c>
      <c r="F40" s="6">
        <f>IF($C40="identity",F41,IF($C40="sigmoid",1/(1+EXP(-F41)),IF($C40="tanh",(EXP(F41)-EXP(-F41))/(EXP(F41)+EXP(-F41)),IF($C40="softplus",LN(1+EXP(F41)),IF($C40="gaussian",EXP(-POWER(F41,2)),0)))))</f>
        <v>-10.937665400191</v>
      </c>
      <c r="G40" s="6">
        <f>IF($C40="identity",G41,IF($C40="sigmoid",1/(1+EXP(-G41)),IF($C40="tanh",(EXP(G41)-EXP(-G41))/(EXP(G41)+EXP(-G41)),IF($C40="softplus",LN(1+EXP(G41)),IF($C40="gaussian",EXP(-POWER(G41,2)),0)))))</f>
        <v>-7.9343639788383</v>
      </c>
    </row>
    <row r="41" spans="1:7">
      <c r="A41">
        <v>17</v>
      </c>
      <c r="B41" s="7" t="s">
        <v>14</v>
      </c>
      <c r="C41" s="1">
        <v>1</v>
      </c>
      <c r="D41" s="2">
        <f>$C42*D$14+$C43*D$18+$C44*D$22+$C41</f>
        <v>-8.51847629907172</v>
      </c>
      <c r="E41" s="2">
        <f>$C42*E$14+$C43*E$18+$C44*E$22+$C41</f>
        <v>8.62433704465963</v>
      </c>
      <c r="F41" s="2">
        <f>$C42*F$14+$C43*F$18+$C44*F$22+$C41</f>
        <v>-10.937665400191</v>
      </c>
      <c r="G41" s="2">
        <f>$C42*G$14+$C43*G$18+$C44*G$22+$C41</f>
        <v>-7.9343639788383</v>
      </c>
    </row>
    <row r="42" spans="1:3">
      <c r="A42">
        <v>18</v>
      </c>
      <c r="B42" s="7" t="s">
        <v>15</v>
      </c>
      <c r="C42" s="1">
        <v>2.1</v>
      </c>
    </row>
    <row r="43" spans="1:3">
      <c r="A43">
        <v>19</v>
      </c>
      <c r="B43" s="7" t="s">
        <v>20</v>
      </c>
      <c r="C43" s="1">
        <v>8.9</v>
      </c>
    </row>
    <row r="44" spans="1:3">
      <c r="A44">
        <v>20</v>
      </c>
      <c r="B44" s="7" t="s">
        <v>21</v>
      </c>
      <c r="C44" s="1">
        <v>-0.6</v>
      </c>
    </row>
    <row r="45" spans="2:2">
      <c r="B45" s="4" t="s">
        <v>26</v>
      </c>
    </row>
    <row r="46" spans="2:7">
      <c r="B46" s="5" t="s">
        <v>12</v>
      </c>
      <c r="C46" s="1" t="s">
        <v>13</v>
      </c>
      <c r="D46" s="6">
        <f>IF($C46="identity",D47,IF($C46="sigmoid",1/(1+EXP(-D47)),IF($C46="tanh",(EXP(D47)-EXP(-D47))/(EXP(D47)+EXP(-D47)),IF($C46="softplus",LN(1+EXP(D47)),IF($C46="gaussian",EXP(-POWER(D47,2)),0)))))</f>
        <v>0.0518908577811719</v>
      </c>
      <c r="E46" s="6">
        <f>IF($C46="identity",E47,IF($C46="sigmoid",1/(1+EXP(-E47)),IF($C46="tanh",(EXP(E47)-EXP(-E47))/(EXP(E47)+EXP(-E47)),IF($C46="softplus",LN(1+EXP(E47)),IF($C46="gaussian",EXP(-POWER(E47,2)),0)))))</f>
        <v>0.0590292798131092</v>
      </c>
      <c r="F46" s="6">
        <f>IF($C46="identity",F47,IF($C46="sigmoid",1/(1+EXP(-F47)),IF($C46="tanh",(EXP(F47)-EXP(-F47))/(EXP(F47)+EXP(-F47)),IF($C46="softplus",LN(1+EXP(F47)),IF($C46="gaussian",EXP(-POWER(F47,2)),0)))))</f>
        <v>0.172652947865842</v>
      </c>
      <c r="G46" s="6">
        <f>IF($C46="identity",G47,IF($C46="sigmoid",1/(1+EXP(-G47)),IF($C46="tanh",(EXP(G47)-EXP(-G47))/(EXP(G47)+EXP(-G47)),IF($C46="softplus",LN(1+EXP(G47)),IF($C46="gaussian",EXP(-POWER(G47,2)),0)))))</f>
        <v>0.0223305759789602</v>
      </c>
    </row>
    <row r="47" spans="1:7">
      <c r="A47">
        <v>21</v>
      </c>
      <c r="B47" s="7" t="s">
        <v>14</v>
      </c>
      <c r="C47" s="1">
        <v>0.04</v>
      </c>
      <c r="D47" s="2">
        <f>$C48*D$14+$C49*D$18+$C50*D$22+$C47</f>
        <v>0.0518908577811719</v>
      </c>
      <c r="E47" s="2">
        <f>$C48*E$14+$C49*E$18+$C50*E$22+$C47</f>
        <v>0.0590292798131092</v>
      </c>
      <c r="F47" s="2">
        <f>$C48*F$14+$C49*F$18+$C50*F$22+$C47</f>
        <v>0.172652947865842</v>
      </c>
      <c r="G47" s="2">
        <f>$C48*G$14+$C49*G$18+$C50*G$22+$C47</f>
        <v>0.0223305759789602</v>
      </c>
    </row>
    <row r="48" spans="1:3">
      <c r="A48">
        <v>22</v>
      </c>
      <c r="B48" s="7" t="s">
        <v>15</v>
      </c>
      <c r="C48" s="1">
        <v>0.01</v>
      </c>
    </row>
    <row r="49" spans="1:3">
      <c r="A49">
        <v>23</v>
      </c>
      <c r="B49" s="7" t="s">
        <v>20</v>
      </c>
      <c r="C49" s="1">
        <v>0.02</v>
      </c>
    </row>
    <row r="50" spans="1:3">
      <c r="A50">
        <v>24</v>
      </c>
      <c r="B50" s="7" t="s">
        <v>21</v>
      </c>
      <c r="C50" s="1">
        <v>0.03</v>
      </c>
    </row>
    <row r="51" spans="2:2">
      <c r="B51" s="4" t="s">
        <v>28</v>
      </c>
    </row>
    <row r="52" spans="2:7">
      <c r="B52" s="5" t="s">
        <v>12</v>
      </c>
      <c r="C52" s="1" t="s">
        <v>13</v>
      </c>
      <c r="D52" s="6">
        <f>IF($C52="identity",D53,IF($C52="sigmoid",1/(1+EXP(-D53)),IF($C52="tanh",(EXP(D53)-EXP(-D53))/(EXP(D53)+EXP(-D53)),IF($C52="softplus",LN(1+EXP(D53)),IF($C52="gaussian",EXP(-POWER(D53,2)),0)))))</f>
        <v>35.0980511661378</v>
      </c>
      <c r="E52" s="6">
        <f>IF($C52="identity",E53,IF($C52="sigmoid",1/(1+EXP(-E53)),IF($C52="tanh",(EXP(E53)-EXP(-E53))/(EXP(E53)+EXP(-E53)),IF($C52="softplus",LN(1+EXP(E53)),IF($C52="gaussian",EXP(-POWER(E53,2)),0)))))</f>
        <v>26.0200698928341</v>
      </c>
      <c r="F52" s="6">
        <f>IF($C52="identity",F53,IF($C52="sigmoid",1/(1+EXP(-F53)),IF($C52="tanh",(EXP(F53)-EXP(-F53))/(EXP(F53)+EXP(-F53)),IF($C52="softplus",LN(1+EXP(F53)),IF($C52="gaussian",EXP(-POWER(F53,2)),0)))))</f>
        <v>75.3586600267375</v>
      </c>
      <c r="G52" s="6">
        <f>IF($C52="identity",G53,IF($C52="sigmoid",1/(1+EXP(-G53)),IF($C52="tanh",(EXP(G53)-EXP(-G53))/(EXP(G53)+EXP(-G53)),IF($C52="softplus",LN(1+EXP(G53)),IF($C52="gaussian",EXP(-POWER(G53,2)),0)))))</f>
        <v>25.2564460918158</v>
      </c>
    </row>
    <row r="53" spans="1:7">
      <c r="A53">
        <v>25</v>
      </c>
      <c r="B53" s="7" t="s">
        <v>14</v>
      </c>
      <c r="C53" s="1">
        <v>25</v>
      </c>
      <c r="D53" s="2">
        <f>$C54*D$14+$C55*D$18+$C56*D$22+$C53</f>
        <v>35.0980511661378</v>
      </c>
      <c r="E53" s="2">
        <f>$C54*E$14+$C55*E$18+$C56*E$22+$C53</f>
        <v>26.0200698928341</v>
      </c>
      <c r="F53" s="2">
        <f>$C54*F$14+$C55*F$18+$C56*F$22+$C53</f>
        <v>75.3586600267375</v>
      </c>
      <c r="G53" s="2">
        <f>$C54*G$14+$C55*G$18+$C56*G$22+$C53</f>
        <v>25.2564460918158</v>
      </c>
    </row>
    <row r="54" spans="1:3">
      <c r="A54">
        <v>26</v>
      </c>
      <c r="B54" s="7" t="s">
        <v>15</v>
      </c>
      <c r="C54" s="1">
        <v>-0.5</v>
      </c>
    </row>
    <row r="55" spans="1:3">
      <c r="A55">
        <v>27</v>
      </c>
      <c r="B55" s="7" t="s">
        <v>20</v>
      </c>
      <c r="C55" s="1">
        <v>0.5</v>
      </c>
    </row>
    <row r="56" spans="1:3">
      <c r="A56">
        <v>28</v>
      </c>
      <c r="B56" s="7" t="s">
        <v>21</v>
      </c>
      <c r="C56" s="1">
        <v>10</v>
      </c>
    </row>
    <row r="57" spans="2:2">
      <c r="B57" s="8"/>
    </row>
    <row r="58" spans="2:2">
      <c r="B58" s="3" t="s">
        <v>30</v>
      </c>
    </row>
    <row r="59" spans="2:2">
      <c r="B59" s="4" t="s">
        <v>9</v>
      </c>
    </row>
    <row r="60" spans="1:7">
      <c r="A60">
        <v>29</v>
      </c>
      <c r="B60" s="5" t="s">
        <v>12</v>
      </c>
      <c r="C60" s="1" t="s">
        <v>13</v>
      </c>
      <c r="D60" s="6">
        <f>IF($C60="identity",D61,IF($C60="sigmoid",1/(1+EXP(-D61)),IF($C60="tanh",(EXP(D61)-EXP(-D61))/(EXP(D61)+EXP(-D61)),IF($C60="softplus",LN(1+EXP(D61)),IF($C60="gaussian",EXP(-POWER(D61,2)),0)))))</f>
        <v>-53.3715221646747</v>
      </c>
      <c r="E60" s="6">
        <f>IF($C60="identity",E61,IF($C60="sigmoid",1/(1+EXP(-E61)),IF($C60="tanh",(EXP(E61)-EXP(-E61))/(EXP(E61)+EXP(-E61)),IF($C60="softplus",LN(1+EXP(E61)),IF($C60="gaussian",EXP(-POWER(E61,2)),0)))))</f>
        <v>107.161734817953</v>
      </c>
      <c r="F60" s="6">
        <f>IF($C60="identity",F61,IF($C60="sigmoid",1/(1+EXP(-F61)),IF($C60="tanh",(EXP(F61)-EXP(-F61))/(EXP(F61)+EXP(-F61)),IF($C60="softplus",LN(1+EXP(F61)),IF($C60="gaussian",EXP(-POWER(F61,2)),0)))))</f>
        <v>-35.9621820746993</v>
      </c>
      <c r="G60" s="6">
        <f>IF($C60="identity",G61,IF($C60="sigmoid",1/(1+EXP(-G61)),IF($C60="tanh",(EXP(G61)-EXP(-G61))/(EXP(G61)+EXP(-G61)),IF($C60="softplus",LN(1+EXP(G61)),IF($C60="gaussian",EXP(-POWER(G61,2)),0)))))</f>
        <v>-57.6998301798879</v>
      </c>
    </row>
    <row r="61" spans="1:7">
      <c r="A61">
        <v>30</v>
      </c>
      <c r="B61" s="7" t="s">
        <v>14</v>
      </c>
      <c r="C61" s="1">
        <v>-5</v>
      </c>
      <c r="D61" s="2">
        <f>$C62*D$28+$C63*D$34+$C64*D$40+$C65*D$46+$C66*D$52+$C61</f>
        <v>-53.3715221646747</v>
      </c>
      <c r="E61" s="2">
        <f>$C62*E$28+$C63*E$34+$C64*E$40+$C65*E$46+$C66*E$52+$C61</f>
        <v>107.161734817953</v>
      </c>
      <c r="F61" s="2">
        <f>$C62*F$28+$C63*F$34+$C64*F$40+$C65*F$46+$C66*F$52+$C61</f>
        <v>-35.9621820746993</v>
      </c>
      <c r="G61" s="2">
        <f>$C62*G$28+$C63*G$34+$C64*G$40+$C65*G$46+$C66*G$52+$C61</f>
        <v>-57.6998301798879</v>
      </c>
    </row>
    <row r="62" spans="1:3">
      <c r="A62">
        <v>31</v>
      </c>
      <c r="B62" s="7" t="s">
        <v>15</v>
      </c>
      <c r="C62" s="1">
        <v>0.1</v>
      </c>
    </row>
    <row r="63" spans="1:3">
      <c r="A63">
        <v>32</v>
      </c>
      <c r="B63" s="7" t="s">
        <v>20</v>
      </c>
      <c r="C63" s="1">
        <v>0.2</v>
      </c>
    </row>
    <row r="64" spans="1:3">
      <c r="A64">
        <v>33</v>
      </c>
      <c r="B64" s="7" t="s">
        <v>21</v>
      </c>
      <c r="C64" s="1">
        <v>10</v>
      </c>
    </row>
    <row r="65" spans="1:3">
      <c r="A65">
        <v>34</v>
      </c>
      <c r="B65" s="7" t="s">
        <v>31</v>
      </c>
      <c r="C65" s="1">
        <v>0.1</v>
      </c>
    </row>
    <row r="66" spans="1:3">
      <c r="A66">
        <v>35</v>
      </c>
      <c r="B66" s="7" t="s">
        <v>32</v>
      </c>
      <c r="C66" s="1">
        <v>1</v>
      </c>
    </row>
    <row r="67" spans="2:2">
      <c r="B67" s="4" t="s">
        <v>34</v>
      </c>
    </row>
    <row r="68" spans="1:7">
      <c r="A68">
        <v>29</v>
      </c>
      <c r="B68" s="5" t="s">
        <v>12</v>
      </c>
      <c r="C68" s="1" t="s">
        <v>23</v>
      </c>
      <c r="D68" s="6">
        <f>IF($C68="identity",D69,IF($C68="sigmoid",1/(1+EXP(-D69)),IF($C68="tanh",(EXP(D69)-EXP(-D69))/(EXP(D69)+EXP(-D69)),IF($C68="softplus",LN(1+EXP(D69)),IF($C68="gaussian",EXP(-POWER(D69,2)),0)))))</f>
        <v>146.408201315051</v>
      </c>
      <c r="E68" s="6">
        <f>IF($C68="identity",E69,IF($C68="sigmoid",1/(1+EXP(-E69)),IF($C68="tanh",(EXP(E69)-EXP(-E69))/(EXP(E69)+EXP(-E69)),IF($C68="softplus",LN(1+EXP(E69)),IF($C68="gaussian",EXP(-POWER(E69,2)),0)))))</f>
        <v>179.392092569437</v>
      </c>
      <c r="F68" s="6">
        <f>IF($C68="identity",F69,IF($C68="sigmoid",1/(1+EXP(-F69)),IF($C68="tanh",(EXP(F69)-EXP(-F69))/(EXP(F69)+EXP(-F69)),IF($C68="softplus",LN(1+EXP(F69)),IF($C68="gaussian",EXP(-POWER(F69,2)),0)))))</f>
        <v>347.189125665364</v>
      </c>
      <c r="G68" s="6">
        <f>IF($C68="identity",G69,IF($C68="sigmoid",1/(1+EXP(-G69)),IF($C68="tanh",(EXP(G69)-EXP(-G69))/(EXP(G69)+EXP(-G69)),IF($C68="softplus",LN(1+EXP(G69)),IF($C68="gaussian",EXP(-POWER(G69,2)),0)))))</f>
        <v>97.2893002888476</v>
      </c>
    </row>
    <row r="69" spans="1:7">
      <c r="A69">
        <v>30</v>
      </c>
      <c r="B69" s="7" t="s">
        <v>14</v>
      </c>
      <c r="C69" s="1">
        <v>-5</v>
      </c>
      <c r="D69" s="2">
        <f>$C70*D$28+$C71*D$34+$C72*D$40+$C73*D$46+$C74*D$52+$C69</f>
        <v>146.408201315051</v>
      </c>
      <c r="E69" s="2">
        <f>$C70*E$28+$C71*E$34+$C72*E$40+$C73*E$46+$C74*E$52+$C69</f>
        <v>179.392092569437</v>
      </c>
      <c r="F69" s="2">
        <f>$C70*F$28+$C71*F$34+$C72*F$40+$C73*F$46+$C74*F$52+$C69</f>
        <v>347.189125665364</v>
      </c>
      <c r="G69" s="2">
        <f>$C70*G$28+$C71*G$34+$C72*G$40+$C73*G$46+$C74*G$52+$C69</f>
        <v>97.2893002888476</v>
      </c>
    </row>
    <row r="70" spans="1:3">
      <c r="A70">
        <v>31</v>
      </c>
      <c r="B70" s="7" t="s">
        <v>15</v>
      </c>
      <c r="C70" s="1">
        <v>0.23</v>
      </c>
    </row>
    <row r="71" spans="1:3">
      <c r="A71">
        <v>32</v>
      </c>
      <c r="B71" s="7" t="s">
        <v>20</v>
      </c>
      <c r="C71" s="1">
        <v>1.2</v>
      </c>
    </row>
    <row r="72" spans="1:3">
      <c r="A72">
        <v>33</v>
      </c>
      <c r="B72" s="7" t="s">
        <v>21</v>
      </c>
      <c r="C72" s="1">
        <v>5.3</v>
      </c>
    </row>
    <row r="73" spans="1:3">
      <c r="A73">
        <v>34</v>
      </c>
      <c r="B73" s="7" t="s">
        <v>31</v>
      </c>
      <c r="C73" s="1">
        <v>1.2</v>
      </c>
    </row>
    <row r="74" spans="1:3">
      <c r="A74">
        <v>35</v>
      </c>
      <c r="B74" s="7" t="s">
        <v>32</v>
      </c>
      <c r="C74" s="1">
        <v>5.3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feed forward 1</vt:lpstr>
      <vt:lpstr>feed forward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Oleksandr</dc:creator>
  <cp:lastModifiedBy>Oleksandr</cp:lastModifiedBy>
  <dcterms:created xsi:type="dcterms:W3CDTF">2024-02-29T12:36:00Z</dcterms:created>
  <dcterms:modified xsi:type="dcterms:W3CDTF">2024-03-12T10:22:24Z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DDB040869A6445E493D8ABC88842C7C9_11</vt:lpwstr>
  </property>
  <property fmtid="{D5CDD505-2E9C-101B-9397-08002B2CF9AE}" pid="3" name="KSOProductBuildVer">
    <vt:lpwstr>1033-12.2.0.13489</vt:lpwstr>
  </property>
</Properties>
</file>