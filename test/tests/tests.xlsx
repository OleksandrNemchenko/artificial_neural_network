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8844" activeTab="1"/>
  </bookViews>
  <sheets>
    <sheet name="feed forward 1" sheetId="1" r:id="rId1"/>
    <sheet name="feed forward 2" sheetId="2" r:id="rId2"/>
  </sheets>
  <calcPr calcId="144525"/>
</workbook>
</file>

<file path=xl/sharedStrings.xml><?xml version="1.0" encoding="utf-8"?>
<sst xmlns="http://schemas.openxmlformats.org/spreadsheetml/2006/main" count="147" uniqueCount="32">
  <si>
    <t>inputs</t>
  </si>
  <si>
    <t>input 1</t>
  </si>
  <si>
    <t>neuron 0</t>
  </si>
  <si>
    <t>input 2</t>
  </si>
  <si>
    <t>neuron 1</t>
  </si>
  <si>
    <t>input 3</t>
  </si>
  <si>
    <t>neuron 2</t>
  </si>
  <si>
    <t>layer 1</t>
  </si>
  <si>
    <t>neuron 3</t>
  </si>
  <si>
    <t>act</t>
  </si>
  <si>
    <t>identity</t>
  </si>
  <si>
    <t>w0</t>
  </si>
  <si>
    <t>w1</t>
  </si>
  <si>
    <t>neuron 4</t>
  </si>
  <si>
    <t>neuron 5</t>
  </si>
  <si>
    <t>layer 2</t>
  </si>
  <si>
    <t>neuron 6</t>
  </si>
  <si>
    <t>w2</t>
  </si>
  <si>
    <t>w3</t>
  </si>
  <si>
    <t>neuron 7</t>
  </si>
  <si>
    <t>softplus</t>
  </si>
  <si>
    <t>neuron 8</t>
  </si>
  <si>
    <t>tanh</t>
  </si>
  <si>
    <t>neuron 9</t>
  </si>
  <si>
    <t>sigmoid</t>
  </si>
  <si>
    <t>neuron 10</t>
  </si>
  <si>
    <t>gaussian</t>
  </si>
  <si>
    <t>layer 3</t>
  </si>
  <si>
    <t>neuron 11</t>
  </si>
  <si>
    <t>w4</t>
  </si>
  <si>
    <t>w5</t>
  </si>
  <si>
    <t>neuron 12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</si>
</sst>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right" vertical="center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1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64"/>
  <sheetViews>
    <sheetView topLeftCell="A40" workbookViewId="0">
      <selection activeCell="D63" sqref="$A1:$XFD1048576"/>
    </sheetView>
  </sheetViews>
  <sheetFormatPr defaultColWidth="8.88888888888889" defaultRowHeight="14.4" outlineLevelCol="6"/>
  <cols>
    <col min="3" max="3" width="8.88888888888889" style="1"/>
    <col min="4" max="5" width="7" style="2" customWidth="1"/>
    <col min="6" max="17" width="8.88888888888889" style="2"/>
  </cols>
  <sheetData>
    <row r="3" spans="2:2">
      <c r="B3" s="3" t="s">
        <v>0</v>
      </c>
    </row>
    <row r="4" spans="2:7">
      <c r="B4" t="s">
        <v>1</v>
      </c>
      <c r="C4" s="1" t="s">
        <v>2</v>
      </c>
      <c r="D4" s="2">
        <v>1</v>
      </c>
      <c r="E4" s="2">
        <v>-0.1</v>
      </c>
      <c r="F4" s="2">
        <v>0</v>
      </c>
      <c r="G4" s="2">
        <v>-1</v>
      </c>
    </row>
    <row r="5" spans="2:7">
      <c r="B5" t="s">
        <v>3</v>
      </c>
      <c r="C5" s="1" t="s">
        <v>4</v>
      </c>
      <c r="D5" s="2">
        <v>-5</v>
      </c>
      <c r="E5" s="2">
        <v>0.05</v>
      </c>
      <c r="F5" s="2">
        <v>-3</v>
      </c>
      <c r="G5" s="2">
        <v>-1</v>
      </c>
    </row>
    <row r="6" spans="2:7">
      <c r="B6" t="s">
        <v>5</v>
      </c>
      <c r="C6" s="1" t="s">
        <v>6</v>
      </c>
      <c r="D6" s="2">
        <v>0.25</v>
      </c>
      <c r="E6" s="2">
        <v>-1.1</v>
      </c>
      <c r="F6" s="2">
        <v>5</v>
      </c>
      <c r="G6" s="2">
        <v>-1</v>
      </c>
    </row>
    <row r="8" spans="2:2">
      <c r="B8" s="3" t="s">
        <v>7</v>
      </c>
    </row>
    <row r="9" spans="2:2">
      <c r="B9" s="4" t="s">
        <v>8</v>
      </c>
    </row>
    <row r="10" spans="2:7">
      <c r="B10" s="5" t="s">
        <v>9</v>
      </c>
      <c r="C10" s="1" t="s">
        <v>10</v>
      </c>
      <c r="D10" s="6">
        <f>IF($C10="identity",D11,IF($C10="sigmoid",1/(1+EXP(-D11)),IF($C10="tanh",(EXP(D11)-EXP(-D11))/(EXP(D11)+EXP(-D11)),IF($C10="softplus",LN(1+EXP(D11)),IF($C10="gaussian",EXP(-POWER(D11,2)),0)))))</f>
        <v>-4.77</v>
      </c>
      <c r="E10" s="6">
        <f>IF($C10="identity",E11,IF($C10="sigmoid",1/(1+EXP(-E11)),IF($C10="tanh",(EXP(E11)-EXP(-E11))/(EXP(E11)+EXP(-E11)),IF($C10="softplus",LN(1+EXP(E11)),IF($C10="gaussian",EXP(-POWER(E11,2)),0)))))</f>
        <v>-5.023</v>
      </c>
      <c r="F10" s="6">
        <f>IF($C10="identity",F11,IF($C10="sigmoid",1/(1+EXP(-F11)),IF($C10="tanh",(EXP(F11)-EXP(-F11))/(EXP(F11)+EXP(-F11)),IF($C10="softplus",LN(1+EXP(F11)),IF($C10="gaussian",EXP(-POWER(F11,2)),0)))))</f>
        <v>-5</v>
      </c>
      <c r="G10" s="6">
        <f>IF($C10="identity",G11,IF($C10="sigmoid",1/(1+EXP(-G11)),IF($C10="tanh",(EXP(G11)-EXP(-G11))/(EXP(G11)+EXP(-G11)),IF($C10="softplus",LN(1+EXP(G11)),IF($C10="gaussian",EXP(-POWER(G11,2)),0)))))</f>
        <v>-5.23</v>
      </c>
    </row>
    <row r="11" spans="1:7">
      <c r="A11">
        <v>0</v>
      </c>
      <c r="B11" s="7" t="s">
        <v>11</v>
      </c>
      <c r="C11" s="1">
        <v>-5</v>
      </c>
      <c r="D11" s="2">
        <f>$C12*D$4+$C11</f>
        <v>-4.77</v>
      </c>
      <c r="E11" s="2">
        <f>$C12*E$4+$C11</f>
        <v>-5.023</v>
      </c>
      <c r="F11" s="2">
        <f>$C12*F$4+$C11</f>
        <v>-5</v>
      </c>
      <c r="G11" s="2">
        <f>$C12*G$4+$C11</f>
        <v>-5.23</v>
      </c>
    </row>
    <row r="12" spans="1:3">
      <c r="A12">
        <v>1</v>
      </c>
      <c r="B12" s="7" t="s">
        <v>12</v>
      </c>
      <c r="C12" s="1">
        <v>0.23</v>
      </c>
    </row>
    <row r="13" spans="2:2">
      <c r="B13" s="4" t="s">
        <v>13</v>
      </c>
    </row>
    <row r="14" spans="2:7">
      <c r="B14" s="5" t="s">
        <v>9</v>
      </c>
      <c r="C14" s="1" t="s">
        <v>10</v>
      </c>
      <c r="D14" s="6">
        <f>IF($C14="identity",D15,IF($C14="sigmoid",1/(1+EXP(-D15)),IF($C14="tanh",(EXP(D15)-EXP(-D15))/(EXP(D15)+EXP(-D15)),IF($C14="softplus",LN(1+EXP(D15)),IF($C14="gaussian",EXP(-POWER(D15,2)),0)))))</f>
        <v>-68.4</v>
      </c>
      <c r="E14" s="6">
        <f>IF($C14="identity",E15,IF($C14="sigmoid",1/(1+EXP(-E15)),IF($C14="tanh",(EXP(E15)-EXP(-E15))/(EXP(E15)+EXP(-E15)),IF($C14="softplus",LN(1+EXP(E15)),IF($C14="gaussian",EXP(-POWER(E15,2)),0)))))</f>
        <v>1.29</v>
      </c>
      <c r="F14" s="6">
        <f>IF($C14="identity",F15,IF($C14="sigmoid",1/(1+EXP(-F15)),IF($C14="tanh",(EXP(F15)-EXP(-F15))/(EXP(F15)+EXP(-F15)),IF($C14="softplus",LN(1+EXP(F15)),IF($C14="gaussian",EXP(-POWER(F15,2)),0)))))</f>
        <v>-40.8</v>
      </c>
      <c r="G14" s="6">
        <f>IF($C14="identity",G15,IF($C14="sigmoid",1/(1+EXP(-G15)),IF($C14="tanh",(EXP(G15)-EXP(-G15))/(EXP(G15)+EXP(-G15)),IF($C14="softplus",LN(1+EXP(G15)),IF($C14="gaussian",EXP(-POWER(G15,2)),0)))))</f>
        <v>-13.2</v>
      </c>
    </row>
    <row r="15" spans="1:7">
      <c r="A15">
        <v>2</v>
      </c>
      <c r="B15" s="7" t="s">
        <v>11</v>
      </c>
      <c r="C15" s="1">
        <v>0.6</v>
      </c>
      <c r="D15" s="2">
        <f>$C16*D$5+$C15</f>
        <v>-68.4</v>
      </c>
      <c r="E15" s="2">
        <f>$C16*E$5+$C15</f>
        <v>1.29</v>
      </c>
      <c r="F15" s="2">
        <f>$C16*F$5+$C15</f>
        <v>-40.8</v>
      </c>
      <c r="G15" s="2">
        <f>$C16*G$5+$C15</f>
        <v>-13.2</v>
      </c>
    </row>
    <row r="16" spans="1:3">
      <c r="A16">
        <v>3</v>
      </c>
      <c r="B16" s="7" t="s">
        <v>12</v>
      </c>
      <c r="C16" s="1">
        <v>13.8</v>
      </c>
    </row>
    <row r="17" spans="2:2">
      <c r="B17" s="4" t="s">
        <v>14</v>
      </c>
    </row>
    <row r="18" spans="2:7">
      <c r="B18" s="5" t="s">
        <v>9</v>
      </c>
      <c r="C18" s="1" t="s">
        <v>10</v>
      </c>
      <c r="D18" s="6">
        <f>IF($C18="identity",D19,IF($C18="sigmoid",1/(1+EXP(-D19)),IF($C18="tanh",(EXP(D19)-EXP(-D19))/(EXP(D19)+EXP(-D19)),IF($C18="softplus",LN(1+EXP(D19)),IF($C18="gaussian",EXP(-POWER(D19,2)),0)))))</f>
        <v>0.635</v>
      </c>
      <c r="E18" s="6">
        <f>IF($C18="identity",E19,IF($C18="sigmoid",1/(1+EXP(-E19)),IF($C18="tanh",(EXP(E19)-EXP(-E19))/(EXP(E19)+EXP(-E19)),IF($C18="softplus",LN(1+EXP(E19)),IF($C18="gaussian",EXP(-POWER(E19,2)),0)))))</f>
        <v>-2.794</v>
      </c>
      <c r="F18" s="6">
        <f>IF($C18="identity",F19,IF($C18="sigmoid",1/(1+EXP(-F19)),IF($C18="tanh",(EXP(F19)-EXP(-F19))/(EXP(F19)+EXP(-F19)),IF($C18="softplus",LN(1+EXP(F19)),IF($C18="gaussian",EXP(-POWER(F19,2)),0)))))</f>
        <v>12.7</v>
      </c>
      <c r="G18" s="6">
        <f>IF($C18="identity",G19,IF($C18="sigmoid",1/(1+EXP(-G19)),IF($C18="tanh",(EXP(G19)-EXP(-G19))/(EXP(G19)+EXP(-G19)),IF($C18="softplus",LN(1+EXP(G19)),IF($C18="gaussian",EXP(-POWER(G19,2)),0)))))</f>
        <v>-2.54</v>
      </c>
    </row>
    <row r="19" spans="1:7">
      <c r="A19">
        <v>4</v>
      </c>
      <c r="B19" s="7" t="s">
        <v>11</v>
      </c>
      <c r="C19" s="1">
        <v>0</v>
      </c>
      <c r="D19" s="2">
        <f>$C20*D$6+$C19</f>
        <v>0.635</v>
      </c>
      <c r="E19" s="2">
        <f>$C20*E$6+$C19</f>
        <v>-2.794</v>
      </c>
      <c r="F19" s="2">
        <f>$C20*F$6+$C19</f>
        <v>12.7</v>
      </c>
      <c r="G19" s="2">
        <f>$C20*G$6+$C19</f>
        <v>-2.54</v>
      </c>
    </row>
    <row r="20" spans="1:3">
      <c r="A20">
        <v>5</v>
      </c>
      <c r="B20" s="7" t="s">
        <v>12</v>
      </c>
      <c r="C20" s="1">
        <v>2.54</v>
      </c>
    </row>
    <row r="21" spans="2:2">
      <c r="B21" s="8"/>
    </row>
    <row r="22" spans="2:2">
      <c r="B22" s="3" t="s">
        <v>15</v>
      </c>
    </row>
    <row r="23" spans="2:2">
      <c r="B23" s="4" t="s">
        <v>16</v>
      </c>
    </row>
    <row r="24" spans="1:7">
      <c r="A24">
        <v>6</v>
      </c>
      <c r="B24" s="5" t="s">
        <v>9</v>
      </c>
      <c r="C24" s="1" t="s">
        <v>10</v>
      </c>
      <c r="D24" s="6">
        <f>IF($C24="identity",D25,IF($C24="sigmoid",1/(1+EXP(-D25)),IF($C24="tanh",(EXP(D25)-EXP(-D25))/(EXP(D25)+EXP(-D25)),IF($C24="softplus",LN(1+EXP(D25)),IF($C24="gaussian",EXP(-POWER(D25,2)),0)))))</f>
        <v>-84.8116</v>
      </c>
      <c r="E24" s="6">
        <f>IF($C24="identity",E25,IF($C24="sigmoid",1/(1+EXP(-E25)),IF($C24="tanh",(EXP(E25)-EXP(-E25))/(EXP(E25)+EXP(-E25)),IF($C24="softplus",LN(1+EXP(E25)),IF($C24="gaussian",EXP(-POWER(E25,2)),0)))))</f>
        <v>-19.41549</v>
      </c>
      <c r="F24" s="6">
        <f>IF($C24="identity",F25,IF($C24="sigmoid",1/(1+EXP(-F25)),IF($C24="tanh",(EXP(F25)-EXP(-F25))/(EXP(F25)+EXP(-F25)),IF($C24="softplus",LN(1+EXP(F25)),IF($C24="gaussian",EXP(-POWER(F25,2)),0)))))</f>
        <v>12.2</v>
      </c>
      <c r="G24" s="6">
        <f>IF($C24="identity",G25,IF($C24="sigmoid",1/(1+EXP(-G25)),IF($C24="tanh",(EXP(G25)-EXP(-G25))/(EXP(G25)+EXP(-G25)),IF($C24="softplus",LN(1+EXP(G25)),IF($C24="gaussian",EXP(-POWER(G25,2)),0)))))</f>
        <v>-35.5049</v>
      </c>
    </row>
    <row r="25" spans="1:7">
      <c r="A25">
        <v>7</v>
      </c>
      <c r="B25" s="7" t="s">
        <v>11</v>
      </c>
      <c r="C25" s="1">
        <v>-5</v>
      </c>
      <c r="D25" s="2">
        <f>$C26*D$10+$C27*D$14+$C28*D$18+$C25</f>
        <v>-84.8116</v>
      </c>
      <c r="E25" s="2">
        <f>$C26*E$10+$C27*E$14+$C28*E$18+$C25</f>
        <v>-19.41549</v>
      </c>
      <c r="F25" s="2">
        <f>$C26*F$10+$C27*F$14+$C28*F$18+$C25</f>
        <v>12.2</v>
      </c>
      <c r="G25" s="2">
        <f>$C26*G$10+$C27*G$14+$C28*G$18+$C25</f>
        <v>-35.5049</v>
      </c>
    </row>
    <row r="26" spans="1:3">
      <c r="A26">
        <v>8</v>
      </c>
      <c r="B26" s="7" t="s">
        <v>12</v>
      </c>
      <c r="C26" s="1">
        <v>0.23</v>
      </c>
    </row>
    <row r="27" spans="1:3">
      <c r="A27">
        <v>9</v>
      </c>
      <c r="B27" s="7" t="s">
        <v>17</v>
      </c>
      <c r="C27" s="1">
        <v>1.2</v>
      </c>
    </row>
    <row r="28" spans="1:3">
      <c r="A28">
        <v>10</v>
      </c>
      <c r="B28" s="7" t="s">
        <v>18</v>
      </c>
      <c r="C28" s="1">
        <v>5.3</v>
      </c>
    </row>
    <row r="29" spans="2:2">
      <c r="B29" s="4" t="s">
        <v>19</v>
      </c>
    </row>
    <row r="30" spans="1:7">
      <c r="A30">
        <v>11</v>
      </c>
      <c r="B30" s="5" t="s">
        <v>9</v>
      </c>
      <c r="C30" s="1" t="s">
        <v>20</v>
      </c>
      <c r="D30" s="6">
        <f>IF($C30="identity",D31,IF($C30="sigmoid",1/(1+EXP(-D31)),IF($C30="tanh",(EXP(D31)-EXP(-D31))/(EXP(D31)+EXP(-D31)),IF($C30="softplus",LN(1+EXP(D31)),IF($C30="gaussian",EXP(-POWER(D31,2)),0)))))</f>
        <v>319.4958</v>
      </c>
      <c r="E30" s="6">
        <f>IF($C30="identity",E31,IF($C30="sigmoid",1/(1+EXP(-E31)),IF($C30="tanh",(EXP(E31)-EXP(-E31))/(EXP(E31)+EXP(-E31)),IF($C30="softplus",LN(1+EXP(E31)),IF($C30="gaussian",EXP(-POWER(E31,2)),0)))))</f>
        <v>2.45106540760707</v>
      </c>
      <c r="F30" s="6">
        <f>IF($C30="identity",F31,IF($C30="sigmoid",1/(1+EXP(-F31)),IF($C30="tanh",(EXP(F31)-EXP(-F31))/(EXP(F31)+EXP(-F31)),IF($C30="softplus",LN(1+EXP(F31)),IF($C30="gaussian",EXP(-POWER(F31,2)),0)))))</f>
        <v>180.48</v>
      </c>
      <c r="G30" s="6">
        <f>IF($C30="identity",G31,IF($C30="sigmoid",1/(1+EXP(-G31)),IF($C30="tanh",(EXP(G31)-EXP(-G31))/(EXP(G31)+EXP(-G31)),IF($C30="softplus",LN(1+EXP(G31)),IF($C30="gaussian",EXP(-POWER(G31,2)),0)))))</f>
        <v>68.7692</v>
      </c>
    </row>
    <row r="31" spans="1:7">
      <c r="A31">
        <v>12</v>
      </c>
      <c r="B31" s="7" t="s">
        <v>11</v>
      </c>
      <c r="C31" s="1">
        <v>5.3</v>
      </c>
      <c r="D31" s="2">
        <f>$C32*D$10+$C33*D$14+$C34*D$18+$C31</f>
        <v>319.4958</v>
      </c>
      <c r="E31" s="2">
        <f>$C32*E$10+$C33*E$14+$C34*E$18+$C31</f>
        <v>2.36092</v>
      </c>
      <c r="F31" s="2">
        <f>$C32*F$10+$C33*F$14+$C34*F$18+$C31</f>
        <v>180.48</v>
      </c>
      <c r="G31" s="2">
        <f>$C32*G$10+$C33*G$14+$C34*G$18+$C31</f>
        <v>68.7692</v>
      </c>
    </row>
    <row r="32" spans="1:3">
      <c r="A32">
        <v>13</v>
      </c>
      <c r="B32" s="7" t="s">
        <v>12</v>
      </c>
      <c r="C32" s="1">
        <v>-0.04</v>
      </c>
    </row>
    <row r="33" spans="1:3">
      <c r="A33">
        <v>14</v>
      </c>
      <c r="B33" s="7" t="s">
        <v>17</v>
      </c>
      <c r="C33" s="1">
        <v>-4.6</v>
      </c>
    </row>
    <row r="34" spans="1:3">
      <c r="A34">
        <v>15</v>
      </c>
      <c r="B34" s="7" t="s">
        <v>18</v>
      </c>
      <c r="C34" s="1">
        <v>-1</v>
      </c>
    </row>
    <row r="35" spans="2:2">
      <c r="B35" s="4" t="s">
        <v>21</v>
      </c>
    </row>
    <row r="36" spans="1:7">
      <c r="A36">
        <v>16</v>
      </c>
      <c r="B36" s="5" t="s">
        <v>9</v>
      </c>
      <c r="C36" s="1" t="s">
        <v>22</v>
      </c>
      <c r="D36" s="6">
        <f>IF($C36="identity",D37,IF($C36="sigmoid",1/(1+EXP(-D37)),IF($C36="tanh",(EXP(D37)-EXP(-D37))/(EXP(D37)+EXP(-D37)),IF($C36="softplus",LN(1+EXP(D37)),IF($C36="gaussian",EXP(-POWER(D37,2)),0)))))</f>
        <v>-1</v>
      </c>
      <c r="E36" s="6">
        <f>IF($C36="identity",E37,IF($C36="sigmoid",1/(1+EXP(-E37)),IF($C36="tanh",(EXP(E37)-EXP(-E37))/(EXP(E37)+EXP(-E37)),IF($C36="softplus",LN(1+EXP(E37)),IF($C36="gaussian",EXP(-POWER(E37,2)),0)))))</f>
        <v>0.99853483244595</v>
      </c>
      <c r="F36" s="6">
        <f>IF($C36="identity",F37,IF($C36="sigmoid",1/(1+EXP(-F37)),IF($C36="tanh",(EXP(F37)-EXP(-F37))/(EXP(F37)+EXP(-F37)),IF($C36="softplus",LN(1+EXP(F37)),IF($C36="gaussian",EXP(-POWER(F37,2)),0)))))</f>
        <v>-1</v>
      </c>
      <c r="G36" s="6">
        <f>IF($C36="identity",G37,IF($C36="sigmoid",1/(1+EXP(-G37)),IF($C36="tanh",(EXP(G37)-EXP(-G37))/(EXP(G37)+EXP(-G37)),IF($C36="softplus",LN(1+EXP(G37)),IF($C36="gaussian",EXP(-POWER(G37,2)),0)))))</f>
        <v>-1</v>
      </c>
    </row>
    <row r="37" spans="1:7">
      <c r="A37">
        <v>17</v>
      </c>
      <c r="B37" s="7" t="s">
        <v>11</v>
      </c>
      <c r="C37" s="1">
        <v>1</v>
      </c>
      <c r="D37" s="2">
        <f>$C38*D$10+$C39*D$14+$C40*D$18+$C37</f>
        <v>-618.158</v>
      </c>
      <c r="E37" s="2">
        <f>$C38*E$10+$C39*E$14+$C40*E$18+$C37</f>
        <v>3.6091</v>
      </c>
      <c r="F37" s="2">
        <f>$C38*F$10+$C39*F$14+$C40*F$18+$C37</f>
        <v>-380.24</v>
      </c>
      <c r="G37" s="2">
        <f>$C38*G$10+$C39*G$14+$C40*G$18+$C37</f>
        <v>-125.939</v>
      </c>
    </row>
    <row r="38" spans="1:3">
      <c r="A38">
        <v>18</v>
      </c>
      <c r="B38" s="7" t="s">
        <v>12</v>
      </c>
      <c r="C38" s="1">
        <v>2.1</v>
      </c>
    </row>
    <row r="39" spans="1:3">
      <c r="A39">
        <v>19</v>
      </c>
      <c r="B39" s="7" t="s">
        <v>17</v>
      </c>
      <c r="C39" s="1">
        <v>8.9</v>
      </c>
    </row>
    <row r="40" spans="1:3">
      <c r="A40">
        <v>20</v>
      </c>
      <c r="B40" s="7" t="s">
        <v>18</v>
      </c>
      <c r="C40" s="1">
        <v>-0.6</v>
      </c>
    </row>
    <row r="41" spans="2:2">
      <c r="B41" s="4" t="s">
        <v>23</v>
      </c>
    </row>
    <row r="42" spans="1:7">
      <c r="A42">
        <v>21</v>
      </c>
      <c r="B42" s="5" t="s">
        <v>9</v>
      </c>
      <c r="C42" s="1" t="s">
        <v>24</v>
      </c>
      <c r="D42" s="6">
        <f>IF($C42="identity",D43,IF($C42="sigmoid",1/(1+EXP(-D43)),IF($C42="tanh",(EXP(D43)-EXP(-D43))/(EXP(D43)+EXP(-D43)),IF($C42="softplus",LN(1+EXP(D43)),IF($C42="gaussian",EXP(-POWER(D43,2)),0)))))</f>
        <v>0.204785304533942</v>
      </c>
      <c r="E42" s="6">
        <f>IF($C42="identity",E43,IF($C42="sigmoid",1/(1+EXP(-E43)),IF($C42="tanh",(EXP(E43)-EXP(-E43))/(EXP(E43)+EXP(-E43)),IF($C42="softplus",LN(1+EXP(E43)),IF($C42="gaussian",EXP(-POWER(E43,2)),0)))))</f>
        <v>0.482944120098951</v>
      </c>
      <c r="F42" s="6">
        <f>IF($C42="identity",F43,IF($C42="sigmoid",1/(1+EXP(-F43)),IF($C42="tanh",(EXP(F43)-EXP(-F43))/(EXP(F43)+EXP(-F43)),IF($C42="softplus",LN(1+EXP(F43)),IF($C42="gaussian",EXP(-POWER(F43,2)),0)))))</f>
        <v>0.390550216371675</v>
      </c>
      <c r="G42" s="6">
        <f>IF($C42="identity",G43,IF($C42="sigmoid",1/(1+EXP(-G43)),IF($C42="tanh",(EXP(G43)-EXP(-G43))/(EXP(G43)+EXP(-G43)),IF($C42="softplus",LN(1+EXP(G43)),IF($C42="gaussian",EXP(-POWER(G43,2)),0)))))</f>
        <v>0.412776309160665</v>
      </c>
    </row>
    <row r="43" spans="1:7">
      <c r="A43">
        <v>22</v>
      </c>
      <c r="B43" s="7" t="s">
        <v>11</v>
      </c>
      <c r="C43" s="1">
        <v>0.04</v>
      </c>
      <c r="D43" s="2">
        <f>$C44*D$10+$C45*D$14+$C46*D$18+$C43</f>
        <v>-1.35665</v>
      </c>
      <c r="E43" s="2">
        <f>$C44*E$10+$C45*E$14+$C46*E$18+$C43</f>
        <v>-0.06825</v>
      </c>
      <c r="F43" s="2">
        <f>$C44*F$10+$C45*F$14+$C46*F$18+$C43</f>
        <v>-0.445</v>
      </c>
      <c r="G43" s="2">
        <f>$C44*G$10+$C45*G$14+$C46*G$18+$C43</f>
        <v>-0.3525</v>
      </c>
    </row>
    <row r="44" spans="1:3">
      <c r="A44">
        <v>23</v>
      </c>
      <c r="B44" s="7" t="s">
        <v>12</v>
      </c>
      <c r="C44" s="1">
        <v>0.01</v>
      </c>
    </row>
    <row r="45" spans="1:3">
      <c r="A45">
        <v>24</v>
      </c>
      <c r="B45" s="7" t="s">
        <v>17</v>
      </c>
      <c r="C45" s="1">
        <v>0.02</v>
      </c>
    </row>
    <row r="46" spans="1:3">
      <c r="A46">
        <v>25</v>
      </c>
      <c r="B46" s="7" t="s">
        <v>18</v>
      </c>
      <c r="C46" s="1">
        <v>0.03</v>
      </c>
    </row>
    <row r="47" spans="2:2">
      <c r="B47" s="4" t="s">
        <v>25</v>
      </c>
    </row>
    <row r="48" spans="1:7">
      <c r="A48">
        <v>26</v>
      </c>
      <c r="B48" s="5" t="s">
        <v>9</v>
      </c>
      <c r="C48" s="1" t="s">
        <v>26</v>
      </c>
      <c r="D48" s="6">
        <f>IF($C48="identity",D49,IF($C48="sigmoid",1/(1+EXP(-D49)),IF($C48="tanh",(EXP(D49)-EXP(-D49))/(EXP(D49)+EXP(-D49)),IF($C48="softplus",LN(1+EXP(D49)),IF($C48="gaussian",EXP(-POWER(D49,2)),0)))))</f>
        <v>0.805554031824201</v>
      </c>
      <c r="E48" s="6">
        <f>IF($C48="identity",E49,IF($C48="sigmoid",1/(1+EXP(-E49)),IF($C48="tanh",(EXP(E49)-EXP(-E49))/(EXP(E49)+EXP(-E49)),IF($C48="softplus",LN(1+EXP(E49)),IF($C48="gaussian",EXP(-POWER(E49,2)),0)))))</f>
        <v>0.954209290041129</v>
      </c>
      <c r="F48" s="6">
        <f>IF($C48="identity",F49,IF($C48="sigmoid",1/(1+EXP(-F49)),IF($C48="tanh",(EXP(F49)-EXP(-F49))/(EXP(F49)+EXP(-F49)),IF($C48="softplus",LN(1+EXP(F49)),IF($C48="gaussian",EXP(-POWER(F49,2)),0)))))</f>
        <v>0</v>
      </c>
      <c r="G48" s="6">
        <f>IF($C48="identity",G49,IF($C48="sigmoid",1/(1+EXP(-G49)),IF($C48="tanh",(EXP(G49)-EXP(-G49))/(EXP(G49)+EXP(-G49)),IF($C48="softplus",LN(1+EXP(G49)),IF($C48="gaussian",EXP(-POWER(G49,2)),0)))))</f>
        <v>4.4595186622541e-9</v>
      </c>
    </row>
    <row r="49" spans="1:7">
      <c r="A49">
        <v>27</v>
      </c>
      <c r="B49" s="7" t="s">
        <v>11</v>
      </c>
      <c r="C49" s="1">
        <v>25</v>
      </c>
      <c r="D49" s="2">
        <f>$C50*D$10+$C51*D$14+$C52*D$18+$C49</f>
        <v>-0.465000000000003</v>
      </c>
      <c r="E49" s="2">
        <f>$C50*E$10+$C51*E$14+$C52*E$18+$C49</f>
        <v>0.216499999999996</v>
      </c>
      <c r="F49" s="2">
        <f>$C50*F$10+$C51*F$14+$C52*F$18+$C49</f>
        <v>134.1</v>
      </c>
      <c r="G49" s="2">
        <f>$C50*G$10+$C51*G$14+$C52*G$18+$C49</f>
        <v>-4.385</v>
      </c>
    </row>
    <row r="50" spans="1:3">
      <c r="A50">
        <v>28</v>
      </c>
      <c r="B50" s="7" t="s">
        <v>12</v>
      </c>
      <c r="C50" s="1">
        <v>-0.5</v>
      </c>
    </row>
    <row r="51" spans="1:3">
      <c r="A51">
        <v>29</v>
      </c>
      <c r="B51" s="7" t="s">
        <v>17</v>
      </c>
      <c r="C51" s="1">
        <v>0.5</v>
      </c>
    </row>
    <row r="52" spans="1:3">
      <c r="A52">
        <v>30</v>
      </c>
      <c r="B52" s="7" t="s">
        <v>18</v>
      </c>
      <c r="C52" s="1">
        <v>10</v>
      </c>
    </row>
    <row r="53" spans="2:2">
      <c r="B53" s="8"/>
    </row>
    <row r="54" spans="2:2">
      <c r="B54" s="3" t="s">
        <v>27</v>
      </c>
    </row>
    <row r="55" spans="2:2">
      <c r="B55" s="4" t="s">
        <v>28</v>
      </c>
    </row>
    <row r="56" spans="1:7">
      <c r="A56">
        <v>31</v>
      </c>
      <c r="B56" s="5" t="s">
        <v>9</v>
      </c>
      <c r="C56" s="1" t="s">
        <v>10</v>
      </c>
      <c r="D56" s="6">
        <f>IF($C56="identity",D57,IF($C56="sigmoid",1/(1+EXP(-D57)),IF($C56="tanh",(EXP(D57)-EXP(-D57))/(EXP(D57)+EXP(-D57)),IF($C56="softplus",LN(1+EXP(D57)),IF($C56="gaussian",EXP(-POWER(D57,2)),0)))))</f>
        <v>358.103470734109</v>
      </c>
      <c r="E56" s="6">
        <f>IF($C56="identity",E57,IF($C56="sigmoid",1/(1+EXP(-E57)),IF($C56="tanh",(EXP(E57)-EXP(-E57))/(EXP(E57)+EXP(-E57)),IF($C56="softplus",LN(1+EXP(E57)),IF($C56="gaussian",EXP(-POWER(E57,2)),0)))))</f>
        <v>4.40479258242874</v>
      </c>
      <c r="F56" s="6">
        <f>IF($C56="identity",F57,IF($C56="sigmoid",1/(1+EXP(-F57)),IF($C56="tanh",(EXP(F57)-EXP(-F57))/(EXP(F57)+EXP(-F57)),IF($C56="softplus",LN(1+EXP(F57)),IF($C56="gaussian",EXP(-POWER(F57,2)),0)))))</f>
        <v>209.550660259646</v>
      </c>
      <c r="G56" s="6">
        <f>IF($C56="identity",G57,IF($C56="sigmoid",1/(1+EXP(-G57)),IF($C56="tanh",(EXP(G57)-EXP(-G57))/(EXP(G57)+EXP(-G57)),IF($C56="softplus",LN(1+EXP(G57)),IF($C56="gaussian",EXP(-POWER(G57,2)),0)))))</f>
        <v>64.5522445946282</v>
      </c>
    </row>
    <row r="57" spans="1:7">
      <c r="A57">
        <v>32</v>
      </c>
      <c r="B57" s="7" t="s">
        <v>11</v>
      </c>
      <c r="C57" s="1">
        <v>-5</v>
      </c>
      <c r="D57" s="2">
        <f>$C58*D$24+$C59*D$30+$C60*D$36+$C61*D$42+$C62*D$48+$C57</f>
        <v>358.103470734109</v>
      </c>
      <c r="E57" s="2">
        <f>$C58*E$24+$C59*E$30+$C60*E$36+$C61*E$42+$C62*E$48+$C57</f>
        <v>4.40479258242874</v>
      </c>
      <c r="F57" s="2">
        <f>$C58*F$24+$C59*F$30+$C60*F$36+$C61*F$42+$C62*F$48+$C57</f>
        <v>209.550660259646</v>
      </c>
      <c r="G57" s="2">
        <f>$C58*G$24+$C59*G$30+$C60*G$36+$C61*G$42+$C62*G$48+$C57</f>
        <v>64.5522445946282</v>
      </c>
    </row>
    <row r="58" spans="1:3">
      <c r="A58">
        <v>33</v>
      </c>
      <c r="B58" s="7" t="s">
        <v>12</v>
      </c>
      <c r="C58" s="1">
        <v>0.23</v>
      </c>
    </row>
    <row r="59" spans="1:3">
      <c r="A59">
        <v>34</v>
      </c>
      <c r="B59" s="7" t="s">
        <v>17</v>
      </c>
      <c r="C59" s="1">
        <v>1.2</v>
      </c>
    </row>
    <row r="60" spans="1:3">
      <c r="A60">
        <v>35</v>
      </c>
      <c r="B60" s="7" t="s">
        <v>18</v>
      </c>
      <c r="C60" s="1">
        <v>5.3</v>
      </c>
    </row>
    <row r="61" spans="1:3">
      <c r="A61">
        <v>36</v>
      </c>
      <c r="B61" s="7" t="s">
        <v>29</v>
      </c>
      <c r="C61" s="1">
        <v>1.2</v>
      </c>
    </row>
    <row r="62" spans="1:3">
      <c r="A62">
        <v>37</v>
      </c>
      <c r="B62" s="7" t="s">
        <v>30</v>
      </c>
      <c r="C62" s="1">
        <v>5.3</v>
      </c>
    </row>
    <row r="63" spans="2:2">
      <c r="B63" s="8"/>
    </row>
    <row r="64" spans="1:1">
      <c r="A64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70"/>
  <sheetViews>
    <sheetView tabSelected="1" workbookViewId="0">
      <selection activeCell="J9" sqref="J9"/>
    </sheetView>
  </sheetViews>
  <sheetFormatPr defaultColWidth="8.88888888888889" defaultRowHeight="14.4" outlineLevelCol="6"/>
  <cols>
    <col min="3" max="3" width="8.88888888888889" style="1"/>
    <col min="4" max="5" width="7" style="2" customWidth="1"/>
    <col min="6" max="17" width="8.88888888888889" style="2"/>
  </cols>
  <sheetData>
    <row r="3" spans="2:2">
      <c r="B3" s="3" t="s">
        <v>0</v>
      </c>
    </row>
    <row r="4" spans="2:7">
      <c r="B4" t="s">
        <v>1</v>
      </c>
      <c r="C4" s="1" t="s">
        <v>2</v>
      </c>
      <c r="D4" s="2">
        <v>1</v>
      </c>
      <c r="E4" s="2">
        <v>-0.1</v>
      </c>
      <c r="F4" s="2">
        <v>0</v>
      </c>
      <c r="G4" s="2">
        <v>-1</v>
      </c>
    </row>
    <row r="5" spans="2:7">
      <c r="B5" t="s">
        <v>3</v>
      </c>
      <c r="C5" s="1" t="s">
        <v>4</v>
      </c>
      <c r="D5" s="2">
        <v>-5</v>
      </c>
      <c r="E5" s="2">
        <v>0.05</v>
      </c>
      <c r="F5" s="2">
        <v>-3</v>
      </c>
      <c r="G5" s="2">
        <v>-1</v>
      </c>
    </row>
    <row r="6" spans="2:7">
      <c r="B6" t="s">
        <v>5</v>
      </c>
      <c r="C6" s="1" t="s">
        <v>6</v>
      </c>
      <c r="D6" s="2">
        <v>0.25</v>
      </c>
      <c r="E6" s="2">
        <v>-1.1</v>
      </c>
      <c r="F6" s="2">
        <v>2</v>
      </c>
      <c r="G6" s="2">
        <v>-1</v>
      </c>
    </row>
    <row r="8" spans="2:2">
      <c r="B8" s="3" t="s">
        <v>7</v>
      </c>
    </row>
    <row r="9" spans="2:2">
      <c r="B9" s="4" t="s">
        <v>8</v>
      </c>
    </row>
    <row r="10" spans="1:7">
      <c r="A10">
        <v>0</v>
      </c>
      <c r="B10" s="5" t="s">
        <v>9</v>
      </c>
      <c r="C10" s="1" t="s">
        <v>24</v>
      </c>
      <c r="D10" s="6">
        <f>IF($C10="identity",D11,IF($C10="sigmoid",1/(1+EXP(-D11)),IF($C10="tanh",(EXP(D11)-EXP(-D11))/(EXP(D11)+EXP(-D11)),IF($C10="softplus",LN(1+EXP(D11)),IF($C10="gaussian",EXP(-POWER(D11,2)),0)))))</f>
        <v>0.00840906806596298</v>
      </c>
      <c r="E10" s="6">
        <f>IF($C10="identity",E11,IF($C10="sigmoid",1/(1+EXP(-E11)),IF($C10="tanh",(EXP(E11)-EXP(-E11))/(EXP(E11)+EXP(-E11)),IF($C10="softplus",LN(1+EXP(E11)),IF($C10="gaussian",EXP(-POWER(E11,2)),0)))))</f>
        <v>0.00654166762096193</v>
      </c>
      <c r="F10" s="6">
        <f>IF($C10="identity",F11,IF($C10="sigmoid",1/(1+EXP(-F11)),IF($C10="tanh",(EXP(F11)-EXP(-F11))/(EXP(F11)+EXP(-F11)),IF($C10="softplus",LN(1+EXP(F11)),IF($C10="gaussian",EXP(-POWER(F11,2)),0)))))</f>
        <v>0.00669285092428486</v>
      </c>
      <c r="G10" s="6">
        <f>IF($C10="identity",G11,IF($C10="sigmoid",1/(1+EXP(-G11)),IF($C10="tanh",(EXP(G11)-EXP(-G11))/(EXP(G11)+EXP(-G11)),IF($C10="softplus",LN(1+EXP(G11)),IF($C10="gaussian",EXP(-POWER(G11,2)),0)))))</f>
        <v>0.00532501768574217</v>
      </c>
    </row>
    <row r="11" spans="1:7">
      <c r="A11">
        <v>1</v>
      </c>
      <c r="B11" s="7" t="s">
        <v>11</v>
      </c>
      <c r="C11" s="1">
        <v>-5</v>
      </c>
      <c r="D11" s="2">
        <f>$C12*D$4+$C11</f>
        <v>-4.77</v>
      </c>
      <c r="E11" s="2">
        <f>$C12*E$4+$C11</f>
        <v>-5.023</v>
      </c>
      <c r="F11" s="2">
        <f>$C12*F$4+$C11</f>
        <v>-5</v>
      </c>
      <c r="G11" s="2">
        <f>$C12*G$4+$C11</f>
        <v>-5.23</v>
      </c>
    </row>
    <row r="12" spans="1:3">
      <c r="A12">
        <v>2</v>
      </c>
      <c r="B12" s="7" t="s">
        <v>12</v>
      </c>
      <c r="C12" s="1">
        <v>0.23</v>
      </c>
    </row>
    <row r="13" spans="2:2">
      <c r="B13" s="4" t="s">
        <v>13</v>
      </c>
    </row>
    <row r="14" spans="1:7">
      <c r="A14">
        <v>3</v>
      </c>
      <c r="B14" s="5" t="s">
        <v>9</v>
      </c>
      <c r="C14" s="1" t="s">
        <v>22</v>
      </c>
      <c r="D14" s="6">
        <f>IF($C14="identity",D15,IF($C14="sigmoid",1/(1+EXP(-D15)),IF($C14="tanh",(EXP(D15)-EXP(-D15))/(EXP(D15)+EXP(-D15)),IF($C14="softplus",LN(1+EXP(D15)),IF($C14="gaussian",EXP(-POWER(D15,2)),0)))))</f>
        <v>-1</v>
      </c>
      <c r="E14" s="6">
        <f>IF($C14="identity",E15,IF($C14="sigmoid",1/(1+EXP(-E15)),IF($C14="tanh",(EXP(E15)-EXP(-E15))/(EXP(E15)+EXP(-E15)),IF($C14="softplus",LN(1+EXP(E15)),IF($C14="gaussian",EXP(-POWER(E15,2)),0)))))</f>
        <v>0.859126538214366</v>
      </c>
      <c r="F14" s="6">
        <f>IF($C14="identity",F15,IF($C14="sigmoid",1/(1+EXP(-F15)),IF($C14="tanh",(EXP(F15)-EXP(-F15))/(EXP(F15)+EXP(-F15)),IF($C14="softplus",LN(1+EXP(F15)),IF($C14="gaussian",EXP(-POWER(F15,2)),0)))))</f>
        <v>-1</v>
      </c>
      <c r="G14" s="6">
        <f>IF($C14="identity",G15,IF($C14="sigmoid",1/(1+EXP(-G15)),IF($C14="tanh",(EXP(G15)-EXP(-G15))/(EXP(G15)+EXP(-G15)),IF($C14="softplus",LN(1+EXP(G15)),IF($C14="gaussian",EXP(-POWER(G15,2)),0)))))</f>
        <v>-0.99999999999315</v>
      </c>
    </row>
    <row r="15" spans="1:7">
      <c r="A15">
        <v>4</v>
      </c>
      <c r="B15" s="7" t="s">
        <v>11</v>
      </c>
      <c r="C15" s="1">
        <v>0.6</v>
      </c>
      <c r="D15" s="2">
        <f>$C16*D$5+$C15</f>
        <v>-68.4</v>
      </c>
      <c r="E15" s="2">
        <f>$C16*E$5+$C15</f>
        <v>1.29</v>
      </c>
      <c r="F15" s="2">
        <f>$C16*F$5+$C15</f>
        <v>-40.8</v>
      </c>
      <c r="G15" s="2">
        <f>$C16*G$5+$C15</f>
        <v>-13.2</v>
      </c>
    </row>
    <row r="16" spans="1:3">
      <c r="A16">
        <v>5</v>
      </c>
      <c r="B16" s="7" t="s">
        <v>12</v>
      </c>
      <c r="C16" s="1">
        <v>13.8</v>
      </c>
    </row>
    <row r="17" spans="2:2">
      <c r="B17" s="4" t="s">
        <v>14</v>
      </c>
    </row>
    <row r="18" spans="1:7">
      <c r="A18">
        <v>6</v>
      </c>
      <c r="B18" s="5" t="s">
        <v>9</v>
      </c>
      <c r="C18" s="1" t="s">
        <v>20</v>
      </c>
      <c r="D18" s="6">
        <f>IF($C18="identity",D19,IF($C18="sigmoid",1/(1+EXP(-D19)),IF($C18="tanh",(EXP(D19)-EXP(-D19))/(EXP(D19)+EXP(-D19)),IF($C18="softplus",LN(1+EXP(D19)),IF($C18="gaussian",EXP(-POWER(D19,2)),0)))))</f>
        <v>1.06022557001708</v>
      </c>
      <c r="E18" s="6">
        <f>IF($C18="identity",E19,IF($C18="sigmoid",1/(1+EXP(-E19)),IF($C18="tanh",(EXP(E19)-EXP(-E19))/(EXP(E19)+EXP(-E19)),IF($C18="softplus",LN(1+EXP(E19)),IF($C18="gaussian",EXP(-POWER(E19,2)),0)))))</f>
        <v>0.0593777457537416</v>
      </c>
      <c r="F18" s="6">
        <f>IF($C18="identity",F19,IF($C18="sigmoid",1/(1+EXP(-F19)),IF($C18="tanh",(EXP(F19)-EXP(-F19))/(EXP(F19)+EXP(-F19)),IF($C18="softplus",LN(1+EXP(F19)),IF($C18="gaussian",EXP(-POWER(F19,2)),0)))))</f>
        <v>5.08620064521996</v>
      </c>
      <c r="G18" s="6">
        <f>IF($C18="identity",G19,IF($C18="sigmoid",1/(1+EXP(-G19)),IF($C18="tanh",(EXP(G19)-EXP(-G19))/(EXP(G19)+EXP(-G19)),IF($C18="softplus",LN(1+EXP(G19)),IF($C18="gaussian",EXP(-POWER(G19,2)),0)))))</f>
        <v>0.0759108600655253</v>
      </c>
    </row>
    <row r="19" spans="1:7">
      <c r="A19">
        <v>7</v>
      </c>
      <c r="B19" s="7" t="s">
        <v>11</v>
      </c>
      <c r="C19" s="1">
        <v>0</v>
      </c>
      <c r="D19" s="2">
        <f>$C20*D$6+$C19</f>
        <v>0.635</v>
      </c>
      <c r="E19" s="2">
        <f>$C20*E$6+$C19</f>
        <v>-2.794</v>
      </c>
      <c r="F19" s="2">
        <f>$C20*F$6+$C19</f>
        <v>5.08</v>
      </c>
      <c r="G19" s="2">
        <f>$C20*G$6+$C19</f>
        <v>-2.54</v>
      </c>
    </row>
    <row r="20" spans="1:3">
      <c r="A20">
        <v>8</v>
      </c>
      <c r="B20" s="7" t="s">
        <v>12</v>
      </c>
      <c r="C20" s="1">
        <v>2.54</v>
      </c>
    </row>
    <row r="21" spans="2:2">
      <c r="B21" s="8"/>
    </row>
    <row r="22" spans="2:2">
      <c r="B22" s="3" t="s">
        <v>15</v>
      </c>
    </row>
    <row r="23" spans="2:2">
      <c r="B23" s="4" t="s">
        <v>16</v>
      </c>
    </row>
    <row r="24" spans="2:7">
      <c r="B24" s="5" t="s">
        <v>9</v>
      </c>
      <c r="C24" s="1" t="s">
        <v>10</v>
      </c>
      <c r="D24" s="6">
        <f>IF($C24="identity",D25,IF($C24="sigmoid",1/(1+EXP(-D25)),IF($C24="tanh",(EXP(D25)-EXP(-D25))/(EXP(D25)+EXP(-D25)),IF($C24="softplus",LN(1+EXP(D25)),IF($C24="gaussian",EXP(-POWER(D25,2)),0)))))</f>
        <v>-0.578870393254329</v>
      </c>
      <c r="E24" s="6">
        <f>IF($C24="identity",E25,IF($C24="sigmoid",1/(1+EXP(-E25)),IF($C24="tanh",(EXP(E25)-EXP(-E25))/(EXP(E25)+EXP(-E25)),IF($C24="softplus",LN(1+EXP(E25)),IF($C24="gaussian",EXP(-POWER(E25,2)),0)))))</f>
        <v>-3.65284151809511</v>
      </c>
      <c r="F24" s="6">
        <f>IF($C24="identity",F25,IF($C24="sigmoid",1/(1+EXP(-F25)),IF($C24="tanh",(EXP(F25)-EXP(-F25))/(EXP(F25)+EXP(-F25)),IF($C24="softplus",LN(1+EXP(F25)),IF($C24="gaussian",EXP(-POWER(F25,2)),0)))))</f>
        <v>20.7584027753784</v>
      </c>
      <c r="G24" s="6">
        <f>IF($C24="identity",G25,IF($C24="sigmoid",1/(1+EXP(-G25)),IF($C24="tanh",(EXP(G25)-EXP(-G25))/(EXP(G25)+EXP(-G25)),IF($C24="softplus",LN(1+EXP(G25)),IF($C24="gaussian",EXP(-POWER(G25,2)),0)))))</f>
        <v>-5.79644768757678</v>
      </c>
    </row>
    <row r="25" spans="1:7">
      <c r="A25">
        <v>9</v>
      </c>
      <c r="B25" s="7" t="s">
        <v>11</v>
      </c>
      <c r="C25" s="1">
        <v>-5</v>
      </c>
      <c r="D25" s="2">
        <f>$C26*D$10+$C27*D$14+$C28*D$18+$C25</f>
        <v>-0.578870393254329</v>
      </c>
      <c r="E25" s="2">
        <f>$C26*E$10+$C27*E$14+$C28*E$18+$C25</f>
        <v>-3.65284151809511</v>
      </c>
      <c r="F25" s="2">
        <f>$C26*F$10+$C27*F$14+$C28*F$18+$C25</f>
        <v>20.7584027753784</v>
      </c>
      <c r="G25" s="2">
        <f>$C26*G$10+$C27*G$14+$C28*G$18+$C25</f>
        <v>-5.79644768757678</v>
      </c>
    </row>
    <row r="26" spans="1:3">
      <c r="A26">
        <v>10</v>
      </c>
      <c r="B26" s="7" t="s">
        <v>12</v>
      </c>
      <c r="C26" s="1">
        <v>0.23</v>
      </c>
    </row>
    <row r="27" spans="1:3">
      <c r="A27">
        <v>11</v>
      </c>
      <c r="B27" s="7" t="s">
        <v>17</v>
      </c>
      <c r="C27" s="1">
        <v>1.2</v>
      </c>
    </row>
    <row r="28" spans="1:3">
      <c r="A28">
        <v>12</v>
      </c>
      <c r="B28" s="7" t="s">
        <v>18</v>
      </c>
      <c r="C28" s="1">
        <v>5.3</v>
      </c>
    </row>
    <row r="29" spans="2:2">
      <c r="B29" s="4" t="s">
        <v>19</v>
      </c>
    </row>
    <row r="30" spans="2:7">
      <c r="B30" s="5" t="s">
        <v>9</v>
      </c>
      <c r="C30" s="1" t="s">
        <v>10</v>
      </c>
      <c r="D30" s="6">
        <f>IF($C30="identity",D31,IF($C30="sigmoid",1/(1+EXP(-D31)),IF($C30="tanh",(EXP(D31)-EXP(-D31))/(EXP(D31)+EXP(-D31)),IF($C30="softplus",LN(1+EXP(D31)),IF($C30="gaussian",EXP(-POWER(D31,2)),0)))))</f>
        <v>8.83943806726029</v>
      </c>
      <c r="E30" s="6">
        <f>IF($C30="identity",E31,IF($C30="sigmoid",1/(1+EXP(-E31)),IF($C30="tanh",(EXP(E31)-EXP(-E31))/(EXP(E31)+EXP(-E31)),IF($C30="softplus",LN(1+EXP(E31)),IF($C30="gaussian",EXP(-POWER(E31,2)),0)))))</f>
        <v>1.28837851175534</v>
      </c>
      <c r="F30" s="6">
        <f>IF($C30="identity",F31,IF($C30="sigmoid",1/(1+EXP(-F31)),IF($C30="tanh",(EXP(F31)-EXP(-F31))/(EXP(F31)+EXP(-F31)),IF($C30="softplus",LN(1+EXP(F31)),IF($C30="gaussian",EXP(-POWER(F31,2)),0)))))</f>
        <v>4.81353164074306</v>
      </c>
      <c r="G30" s="6">
        <f>IF($C30="identity",G31,IF($C30="sigmoid",1/(1+EXP(-G31)),IF($C30="tanh",(EXP(G31)-EXP(-G31))/(EXP(G31)+EXP(-G31)),IF($C30="softplus",LN(1+EXP(G31)),IF($C30="gaussian",EXP(-POWER(G31,2)),0)))))</f>
        <v>9.82387613919554</v>
      </c>
    </row>
    <row r="31" spans="1:7">
      <c r="A31">
        <v>13</v>
      </c>
      <c r="B31" s="7" t="s">
        <v>11</v>
      </c>
      <c r="C31" s="1">
        <v>5.3</v>
      </c>
      <c r="D31" s="2">
        <f>$C32*D$10+$C33*D$14+$C34*D$18+$C31</f>
        <v>8.83943806726029</v>
      </c>
      <c r="E31" s="2">
        <f>$C32*E$10+$C33*E$14+$C34*E$18+$C31</f>
        <v>1.28837851175534</v>
      </c>
      <c r="F31" s="2">
        <f>$C32*F$10+$C33*F$14+$C34*F$18+$C31</f>
        <v>4.81353164074306</v>
      </c>
      <c r="G31" s="2">
        <f>$C32*G$10+$C33*G$14+$C34*G$18+$C31</f>
        <v>9.82387613919554</v>
      </c>
    </row>
    <row r="32" spans="1:3">
      <c r="A32">
        <v>14</v>
      </c>
      <c r="B32" s="7" t="s">
        <v>12</v>
      </c>
      <c r="C32" s="1">
        <v>-0.04</v>
      </c>
    </row>
    <row r="33" spans="1:3">
      <c r="A33">
        <v>15</v>
      </c>
      <c r="B33" s="7" t="s">
        <v>17</v>
      </c>
      <c r="C33" s="1">
        <v>-4.6</v>
      </c>
    </row>
    <row r="34" spans="1:3">
      <c r="A34">
        <v>16</v>
      </c>
      <c r="B34" s="7" t="s">
        <v>18</v>
      </c>
      <c r="C34" s="1">
        <v>-1</v>
      </c>
    </row>
    <row r="35" spans="2:2">
      <c r="B35" s="4" t="s">
        <v>21</v>
      </c>
    </row>
    <row r="36" spans="2:7">
      <c r="B36" s="5" t="s">
        <v>9</v>
      </c>
      <c r="C36" s="1" t="s">
        <v>10</v>
      </c>
      <c r="D36" s="6">
        <f>IF($C36="identity",D37,IF($C36="sigmoid",1/(1+EXP(-D37)),IF($C36="tanh",(EXP(D37)-EXP(-D37))/(EXP(D37)+EXP(-D37)),IF($C36="softplus",LN(1+EXP(D37)),IF($C36="gaussian",EXP(-POWER(D37,2)),0)))))</f>
        <v>-8.51847629907172</v>
      </c>
      <c r="E36" s="6">
        <f>IF($C36="identity",E37,IF($C36="sigmoid",1/(1+EXP(-E37)),IF($C36="tanh",(EXP(E37)-EXP(-E37))/(EXP(E37)+EXP(-E37)),IF($C36="softplus",LN(1+EXP(E37)),IF($C36="gaussian",EXP(-POWER(E37,2)),0)))))</f>
        <v>8.62433704465963</v>
      </c>
      <c r="F36" s="6">
        <f>IF($C36="identity",F37,IF($C36="sigmoid",1/(1+EXP(-F37)),IF($C36="tanh",(EXP(F37)-EXP(-F37))/(EXP(F37)+EXP(-F37)),IF($C36="softplus",LN(1+EXP(F37)),IF($C36="gaussian",EXP(-POWER(F37,2)),0)))))</f>
        <v>-10.937665400191</v>
      </c>
      <c r="G36" s="6">
        <f>IF($C36="identity",G37,IF($C36="sigmoid",1/(1+EXP(-G37)),IF($C36="tanh",(EXP(G37)-EXP(-G37))/(EXP(G37)+EXP(-G37)),IF($C36="softplus",LN(1+EXP(G37)),IF($C36="gaussian",EXP(-POWER(G37,2)),0)))))</f>
        <v>-7.9343639788383</v>
      </c>
    </row>
    <row r="37" spans="1:7">
      <c r="A37">
        <v>17</v>
      </c>
      <c r="B37" s="7" t="s">
        <v>11</v>
      </c>
      <c r="C37" s="1">
        <v>1</v>
      </c>
      <c r="D37" s="2">
        <f>$C38*D$10+$C39*D$14+$C40*D$18+$C37</f>
        <v>-8.51847629907172</v>
      </c>
      <c r="E37" s="2">
        <f>$C38*E$10+$C39*E$14+$C40*E$18+$C37</f>
        <v>8.62433704465963</v>
      </c>
      <c r="F37" s="2">
        <f>$C38*F$10+$C39*F$14+$C40*F$18+$C37</f>
        <v>-10.937665400191</v>
      </c>
      <c r="G37" s="2">
        <f>$C38*G$10+$C39*G$14+$C40*G$18+$C37</f>
        <v>-7.9343639788383</v>
      </c>
    </row>
    <row r="38" spans="1:3">
      <c r="A38">
        <v>18</v>
      </c>
      <c r="B38" s="7" t="s">
        <v>12</v>
      </c>
      <c r="C38" s="1">
        <v>2.1</v>
      </c>
    </row>
    <row r="39" spans="1:3">
      <c r="A39">
        <v>19</v>
      </c>
      <c r="B39" s="7" t="s">
        <v>17</v>
      </c>
      <c r="C39" s="1">
        <v>8.9</v>
      </c>
    </row>
    <row r="40" spans="1:3">
      <c r="A40">
        <v>20</v>
      </c>
      <c r="B40" s="7" t="s">
        <v>18</v>
      </c>
      <c r="C40" s="1">
        <v>-0.6</v>
      </c>
    </row>
    <row r="41" spans="2:2">
      <c r="B41" s="4" t="s">
        <v>23</v>
      </c>
    </row>
    <row r="42" spans="2:7">
      <c r="B42" s="5" t="s">
        <v>9</v>
      </c>
      <c r="C42" s="1" t="s">
        <v>10</v>
      </c>
      <c r="D42" s="6">
        <f>IF($C42="identity",D43,IF($C42="sigmoid",1/(1+EXP(-D43)),IF($C42="tanh",(EXP(D43)-EXP(-D43))/(EXP(D43)+EXP(-D43)),IF($C42="softplus",LN(1+EXP(D43)),IF($C42="gaussian",EXP(-POWER(D43,2)),0)))))</f>
        <v>0.0518908577811719</v>
      </c>
      <c r="E42" s="6">
        <f>IF($C42="identity",E43,IF($C42="sigmoid",1/(1+EXP(-E43)),IF($C42="tanh",(EXP(E43)-EXP(-E43))/(EXP(E43)+EXP(-E43)),IF($C42="softplus",LN(1+EXP(E43)),IF($C42="gaussian",EXP(-POWER(E43,2)),0)))))</f>
        <v>0.0590292798131092</v>
      </c>
      <c r="F42" s="6">
        <f>IF($C42="identity",F43,IF($C42="sigmoid",1/(1+EXP(-F43)),IF($C42="tanh",(EXP(F43)-EXP(-F43))/(EXP(F43)+EXP(-F43)),IF($C42="softplus",LN(1+EXP(F43)),IF($C42="gaussian",EXP(-POWER(F43,2)),0)))))</f>
        <v>0.172652947865842</v>
      </c>
      <c r="G42" s="6">
        <f>IF($C42="identity",G43,IF($C42="sigmoid",1/(1+EXP(-G43)),IF($C42="tanh",(EXP(G43)-EXP(-G43))/(EXP(G43)+EXP(-G43)),IF($C42="softplus",LN(1+EXP(G43)),IF($C42="gaussian",EXP(-POWER(G43,2)),0)))))</f>
        <v>0.0223305759789602</v>
      </c>
    </row>
    <row r="43" spans="1:7">
      <c r="A43">
        <v>21</v>
      </c>
      <c r="B43" s="7" t="s">
        <v>11</v>
      </c>
      <c r="C43" s="1">
        <v>0.04</v>
      </c>
      <c r="D43" s="2">
        <f>$C44*D$10+$C45*D$14+$C46*D$18+$C43</f>
        <v>0.0518908577811719</v>
      </c>
      <c r="E43" s="2">
        <f>$C44*E$10+$C45*E$14+$C46*E$18+$C43</f>
        <v>0.0590292798131092</v>
      </c>
      <c r="F43" s="2">
        <f>$C44*F$10+$C45*F$14+$C46*F$18+$C43</f>
        <v>0.172652947865842</v>
      </c>
      <c r="G43" s="2">
        <f>$C44*G$10+$C45*G$14+$C46*G$18+$C43</f>
        <v>0.0223305759789602</v>
      </c>
    </row>
    <row r="44" spans="1:3">
      <c r="A44">
        <v>22</v>
      </c>
      <c r="B44" s="7" t="s">
        <v>12</v>
      </c>
      <c r="C44" s="1">
        <v>0.01</v>
      </c>
    </row>
    <row r="45" spans="1:3">
      <c r="A45">
        <v>23</v>
      </c>
      <c r="B45" s="7" t="s">
        <v>17</v>
      </c>
      <c r="C45" s="1">
        <v>0.02</v>
      </c>
    </row>
    <row r="46" spans="1:3">
      <c r="A46">
        <v>24</v>
      </c>
      <c r="B46" s="7" t="s">
        <v>18</v>
      </c>
      <c r="C46" s="1">
        <v>0.03</v>
      </c>
    </row>
    <row r="47" spans="2:2">
      <c r="B47" s="4" t="s">
        <v>25</v>
      </c>
    </row>
    <row r="48" spans="2:7">
      <c r="B48" s="5" t="s">
        <v>9</v>
      </c>
      <c r="C48" s="1" t="s">
        <v>10</v>
      </c>
      <c r="D48" s="6">
        <f>IF($C48="identity",D49,IF($C48="sigmoid",1/(1+EXP(-D49)),IF($C48="tanh",(EXP(D49)-EXP(-D49))/(EXP(D49)+EXP(-D49)),IF($C48="softplus",LN(1+EXP(D49)),IF($C48="gaussian",EXP(-POWER(D49,2)),0)))))</f>
        <v>35.0980511661378</v>
      </c>
      <c r="E48" s="6">
        <f>IF($C48="identity",E49,IF($C48="sigmoid",1/(1+EXP(-E49)),IF($C48="tanh",(EXP(E49)-EXP(-E49))/(EXP(E49)+EXP(-E49)),IF($C48="softplus",LN(1+EXP(E49)),IF($C48="gaussian",EXP(-POWER(E49,2)),0)))))</f>
        <v>26.0200698928341</v>
      </c>
      <c r="F48" s="6">
        <f>IF($C48="identity",F49,IF($C48="sigmoid",1/(1+EXP(-F49)),IF($C48="tanh",(EXP(F49)-EXP(-F49))/(EXP(F49)+EXP(-F49)),IF($C48="softplus",LN(1+EXP(F49)),IF($C48="gaussian",EXP(-POWER(F49,2)),0)))))</f>
        <v>75.3586600267375</v>
      </c>
      <c r="G48" s="6">
        <f>IF($C48="identity",G49,IF($C48="sigmoid",1/(1+EXP(-G49)),IF($C48="tanh",(EXP(G49)-EXP(-G49))/(EXP(G49)+EXP(-G49)),IF($C48="softplus",LN(1+EXP(G49)),IF($C48="gaussian",EXP(-POWER(G49,2)),0)))))</f>
        <v>25.2564460918158</v>
      </c>
    </row>
    <row r="49" spans="1:7">
      <c r="A49">
        <v>25</v>
      </c>
      <c r="B49" s="7" t="s">
        <v>11</v>
      </c>
      <c r="C49" s="1">
        <v>25</v>
      </c>
      <c r="D49" s="2">
        <f>$C50*D$10+$C51*D$14+$C52*D$18+$C49</f>
        <v>35.0980511661378</v>
      </c>
      <c r="E49" s="2">
        <f>$C50*E$10+$C51*E$14+$C52*E$18+$C49</f>
        <v>26.0200698928341</v>
      </c>
      <c r="F49" s="2">
        <f>$C50*F$10+$C51*F$14+$C52*F$18+$C49</f>
        <v>75.3586600267375</v>
      </c>
      <c r="G49" s="2">
        <f>$C50*G$10+$C51*G$14+$C52*G$18+$C49</f>
        <v>25.2564460918158</v>
      </c>
    </row>
    <row r="50" spans="1:3">
      <c r="A50">
        <v>26</v>
      </c>
      <c r="B50" s="7" t="s">
        <v>12</v>
      </c>
      <c r="C50" s="1">
        <v>-0.5</v>
      </c>
    </row>
    <row r="51" spans="1:3">
      <c r="A51">
        <v>27</v>
      </c>
      <c r="B51" s="7" t="s">
        <v>17</v>
      </c>
      <c r="C51" s="1">
        <v>0.5</v>
      </c>
    </row>
    <row r="52" spans="1:3">
      <c r="A52">
        <v>28</v>
      </c>
      <c r="B52" s="7" t="s">
        <v>18</v>
      </c>
      <c r="C52" s="1">
        <v>10</v>
      </c>
    </row>
    <row r="53" spans="2:2">
      <c r="B53" s="8"/>
    </row>
    <row r="54" spans="2:2">
      <c r="B54" s="3" t="s">
        <v>27</v>
      </c>
    </row>
    <row r="55" spans="2:2">
      <c r="B55" s="4" t="s">
        <v>28</v>
      </c>
    </row>
    <row r="56" spans="1:7">
      <c r="A56">
        <v>29</v>
      </c>
      <c r="B56" s="5" t="s">
        <v>9</v>
      </c>
      <c r="C56" s="1" t="s">
        <v>10</v>
      </c>
      <c r="D56" s="6">
        <f>IF($C56="identity",D57,IF($C56="sigmoid",1/(1+EXP(-D57)),IF($C56="tanh",(EXP(D57)-EXP(-D57))/(EXP(D57)+EXP(-D57)),IF($C56="softplus",LN(1+EXP(D57)),IF($C56="gaussian",EXP(-POWER(D57,2)),0)))))</f>
        <v>146.408201315051</v>
      </c>
      <c r="E56" s="6">
        <f>IF($C56="identity",E57,IF($C56="sigmoid",1/(1+EXP(-E57)),IF($C56="tanh",(EXP(E57)-EXP(-E57))/(EXP(E57)+EXP(-E57)),IF($C56="softplus",LN(1+EXP(E57)),IF($C56="gaussian",EXP(-POWER(E57,2)),0)))))</f>
        <v>179.392092569437</v>
      </c>
      <c r="F56" s="6">
        <f>IF($C56="identity",F57,IF($C56="sigmoid",1/(1+EXP(-F57)),IF($C56="tanh",(EXP(F57)-EXP(-F57))/(EXP(F57)+EXP(-F57)),IF($C56="softplus",LN(1+EXP(F57)),IF($C56="gaussian",EXP(-POWER(F57,2)),0)))))</f>
        <v>347.189125665364</v>
      </c>
      <c r="G56" s="6">
        <f>IF($C56="identity",G57,IF($C56="sigmoid",1/(1+EXP(-G57)),IF($C56="tanh",(EXP(G57)-EXP(-G57))/(EXP(G57)+EXP(-G57)),IF($C56="softplus",LN(1+EXP(G57)),IF($C56="gaussian",EXP(-POWER(G57,2)),0)))))</f>
        <v>97.2893002888476</v>
      </c>
    </row>
    <row r="57" spans="1:7">
      <c r="A57">
        <v>30</v>
      </c>
      <c r="B57" s="7" t="s">
        <v>11</v>
      </c>
      <c r="C57" s="1">
        <v>-5</v>
      </c>
      <c r="D57" s="2">
        <f>$C58*D$24+$C59*D$30+$C60*D$36+$C61*D$42+$C62*D$48+$C57</f>
        <v>146.408201315051</v>
      </c>
      <c r="E57" s="2">
        <f>$C58*E$24+$C59*E$30+$C60*E$36+$C61*E$42+$C62*E$48+$C57</f>
        <v>179.392092569437</v>
      </c>
      <c r="F57" s="2">
        <f>$C58*F$24+$C59*F$30+$C60*F$36+$C61*F$42+$C62*F$48+$C57</f>
        <v>347.189125665364</v>
      </c>
      <c r="G57" s="2">
        <f>$C58*G$24+$C59*G$30+$C60*G$36+$C61*G$42+$C62*G$48+$C57</f>
        <v>97.2893002888476</v>
      </c>
    </row>
    <row r="58" spans="1:3">
      <c r="A58">
        <v>31</v>
      </c>
      <c r="B58" s="7" t="s">
        <v>12</v>
      </c>
      <c r="C58" s="1">
        <v>0.23</v>
      </c>
    </row>
    <row r="59" spans="1:3">
      <c r="A59">
        <v>32</v>
      </c>
      <c r="B59" s="7" t="s">
        <v>17</v>
      </c>
      <c r="C59" s="1">
        <v>1.2</v>
      </c>
    </row>
    <row r="60" spans="1:3">
      <c r="A60">
        <v>33</v>
      </c>
      <c r="B60" s="7" t="s">
        <v>18</v>
      </c>
      <c r="C60" s="1">
        <v>5.3</v>
      </c>
    </row>
    <row r="61" spans="1:3">
      <c r="A61">
        <v>34</v>
      </c>
      <c r="B61" s="7" t="s">
        <v>29</v>
      </c>
      <c r="C61" s="1">
        <v>1.2</v>
      </c>
    </row>
    <row r="62" spans="1:3">
      <c r="A62">
        <v>35</v>
      </c>
      <c r="B62" s="7" t="s">
        <v>30</v>
      </c>
      <c r="C62" s="1">
        <v>5.3</v>
      </c>
    </row>
    <row r="63" spans="2:2">
      <c r="B63" s="4" t="s">
        <v>31</v>
      </c>
    </row>
    <row r="64" spans="1:7">
      <c r="A64">
        <v>29</v>
      </c>
      <c r="B64" s="5" t="s">
        <v>9</v>
      </c>
      <c r="C64" s="1" t="s">
        <v>20</v>
      </c>
      <c r="D64" s="6">
        <f>IF($C64="identity",D65,IF($C64="sigmoid",1/(1+EXP(-D65)),IF($C64="tanh",(EXP(D65)-EXP(-D65))/(EXP(D65)+EXP(-D65)),IF($C64="softplus",LN(1+EXP(D65)),IF($C64="gaussian",EXP(-POWER(D65,2)),0)))))</f>
        <v>146.408201315051</v>
      </c>
      <c r="E64" s="6">
        <f>IF($C64="identity",E65,IF($C64="sigmoid",1/(1+EXP(-E65)),IF($C64="tanh",(EXP(E65)-EXP(-E65))/(EXP(E65)+EXP(-E65)),IF($C64="softplus",LN(1+EXP(E65)),IF($C64="gaussian",EXP(-POWER(E65,2)),0)))))</f>
        <v>179.392092569437</v>
      </c>
      <c r="F64" s="6">
        <f>IF($C64="identity",F65,IF($C64="sigmoid",1/(1+EXP(-F65)),IF($C64="tanh",(EXP(F65)-EXP(-F65))/(EXP(F65)+EXP(-F65)),IF($C64="softplus",LN(1+EXP(F65)),IF($C64="gaussian",EXP(-POWER(F65,2)),0)))))</f>
        <v>347.189125665364</v>
      </c>
      <c r="G64" s="6">
        <f>IF($C64="identity",G65,IF($C64="sigmoid",1/(1+EXP(-G65)),IF($C64="tanh",(EXP(G65)-EXP(-G65))/(EXP(G65)+EXP(-G65)),IF($C64="softplus",LN(1+EXP(G65)),IF($C64="gaussian",EXP(-POWER(G65,2)),0)))))</f>
        <v>97.2893002888476</v>
      </c>
    </row>
    <row r="65" spans="1:7">
      <c r="A65">
        <v>30</v>
      </c>
      <c r="B65" s="7" t="s">
        <v>11</v>
      </c>
      <c r="C65" s="1">
        <v>-5</v>
      </c>
      <c r="D65" s="2">
        <f>$C66*D$24+$C67*D$30+$C68*D$36+$C69*D$42+$C70*D$48+$C65</f>
        <v>146.408201315051</v>
      </c>
      <c r="E65" s="2">
        <f>$C66*E$24+$C67*E$30+$C68*E$36+$C69*E$42+$C70*E$48+$C65</f>
        <v>179.392092569437</v>
      </c>
      <c r="F65" s="2">
        <f>$C66*F$24+$C67*F$30+$C68*F$36+$C69*F$42+$C70*F$48+$C65</f>
        <v>347.189125665364</v>
      </c>
      <c r="G65" s="2">
        <f>$C66*G$24+$C67*G$30+$C68*G$36+$C69*G$42+$C70*G$48+$C65</f>
        <v>97.2893002888476</v>
      </c>
    </row>
    <row r="66" spans="1:3">
      <c r="A66">
        <v>31</v>
      </c>
      <c r="B66" s="7" t="s">
        <v>12</v>
      </c>
      <c r="C66" s="1">
        <v>0.23</v>
      </c>
    </row>
    <row r="67" spans="1:3">
      <c r="A67">
        <v>32</v>
      </c>
      <c r="B67" s="7" t="s">
        <v>17</v>
      </c>
      <c r="C67" s="1">
        <v>1.2</v>
      </c>
    </row>
    <row r="68" spans="1:3">
      <c r="A68">
        <v>33</v>
      </c>
      <c r="B68" s="7" t="s">
        <v>18</v>
      </c>
      <c r="C68" s="1">
        <v>5.3</v>
      </c>
    </row>
    <row r="69" spans="1:3">
      <c r="A69">
        <v>34</v>
      </c>
      <c r="B69" s="7" t="s">
        <v>29</v>
      </c>
      <c r="C69" s="1">
        <v>1.2</v>
      </c>
    </row>
    <row r="70" spans="1:3">
      <c r="A70">
        <v>35</v>
      </c>
      <c r="B70" s="7" t="s">
        <v>30</v>
      </c>
      <c r="C70" s="1">
        <v>5.3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feed forward 1</vt:lpstr>
      <vt:lpstr>feed forward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Oleksandr</dc:creator>
  <cp:lastModifiedBy>Oleksandr</cp:lastModifiedBy>
  <dcterms:created xsi:type="dcterms:W3CDTF">2024-02-29T12:36:00Z</dcterms:created>
  <dcterms:modified xsi:type="dcterms:W3CDTF">2024-03-07T13:58:02Z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DDB040869A6445E493D8ABC88842C7C9_11</vt:lpwstr>
  </property>
  <property fmtid="{D5CDD505-2E9C-101B-9397-08002B2CF9AE}" pid="3" name="KSOProductBuildVer">
    <vt:lpwstr>1033-12.2.0.13489</vt:lpwstr>
  </property>
</Properties>
</file>